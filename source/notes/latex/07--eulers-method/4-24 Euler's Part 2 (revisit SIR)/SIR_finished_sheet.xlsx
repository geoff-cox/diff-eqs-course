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renbliss/Dropbox/1--Current/1--DEs_Spring22/7--the_course_content/16--intro_SIR/"/>
    </mc:Choice>
  </mc:AlternateContent>
  <xr:revisionPtr revIDLastSave="0" documentId="13_ncr:1_{D6E781A7-D14E-CC48-B217-751F0A7875E4}" xr6:coauthVersionLast="47" xr6:coauthVersionMax="47" xr10:uidLastSave="{00000000-0000-0000-0000-000000000000}"/>
  <bookViews>
    <workbookView xWindow="28800" yWindow="-6300" windowWidth="30020" windowHeight="18240" xr2:uid="{DCC099F1-2C9F-A64D-B40D-39F6F452C5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0" i="1" l="1"/>
  <c r="C10" i="1"/>
  <c r="D10" i="1"/>
  <c r="E10" i="1"/>
  <c r="B11" i="1" s="1"/>
  <c r="F10" i="1"/>
  <c r="C11" i="1" s="1"/>
  <c r="G10" i="1"/>
  <c r="E9" i="1"/>
  <c r="F9" i="1"/>
  <c r="G9" i="1"/>
  <c r="D9" i="1"/>
  <c r="C9" i="1"/>
  <c r="B9" i="1"/>
  <c r="G8" i="1"/>
  <c r="F8" i="1"/>
  <c r="E8" i="1"/>
  <c r="G11" i="1" l="1"/>
  <c r="E11" i="1"/>
  <c r="F11" i="1"/>
  <c r="C12" i="1" s="1"/>
  <c r="D11" i="1"/>
  <c r="D12" i="1" s="1"/>
  <c r="B12" i="1"/>
  <c r="G12" i="1" l="1"/>
  <c r="D13" i="1"/>
  <c r="F12" i="1"/>
  <c r="C13" i="1" s="1"/>
  <c r="E12" i="1"/>
  <c r="B13" i="1" s="1"/>
  <c r="F13" i="1" l="1"/>
  <c r="E13" i="1"/>
  <c r="B14" i="1" s="1"/>
  <c r="C14" i="1"/>
  <c r="G13" i="1"/>
  <c r="D14" i="1"/>
  <c r="F14" i="1" l="1"/>
  <c r="E14" i="1"/>
  <c r="B15" i="1" s="1"/>
  <c r="G14" i="1"/>
  <c r="C15" i="1"/>
  <c r="D15" i="1"/>
  <c r="E15" i="1" l="1"/>
  <c r="B16" i="1" s="1"/>
  <c r="F15" i="1"/>
  <c r="G15" i="1"/>
  <c r="D16" i="1" s="1"/>
  <c r="C16" i="1"/>
  <c r="F16" i="1" l="1"/>
  <c r="E16" i="1"/>
  <c r="B17" i="1" s="1"/>
  <c r="G16" i="1"/>
  <c r="D17" i="1" s="1"/>
  <c r="C17" i="1"/>
  <c r="D18" i="1" l="1"/>
  <c r="B18" i="1"/>
  <c r="F17" i="1"/>
  <c r="E17" i="1"/>
  <c r="C18" i="1"/>
  <c r="G17" i="1"/>
  <c r="E18" i="1" l="1"/>
  <c r="B19" i="1" s="1"/>
  <c r="F18" i="1"/>
  <c r="G18" i="1"/>
  <c r="D19" i="1" s="1"/>
  <c r="C19" i="1"/>
  <c r="E19" i="1" l="1"/>
  <c r="F19" i="1"/>
  <c r="B20" i="1"/>
  <c r="C20" i="1"/>
  <c r="G19" i="1"/>
  <c r="D20" i="1" s="1"/>
  <c r="D21" i="1" l="1"/>
  <c r="G20" i="1"/>
  <c r="F20" i="1"/>
  <c r="C21" i="1" s="1"/>
  <c r="E20" i="1"/>
  <c r="B21" i="1" s="1"/>
  <c r="B22" i="1" l="1"/>
  <c r="F21" i="1"/>
  <c r="E21" i="1"/>
  <c r="C22" i="1"/>
  <c r="G21" i="1"/>
  <c r="D22" i="1"/>
  <c r="G22" i="1" l="1"/>
  <c r="D23" i="1" s="1"/>
  <c r="F22" i="1"/>
  <c r="C23" i="1" s="1"/>
  <c r="E22" i="1"/>
  <c r="B23" i="1" s="1"/>
  <c r="E23" i="1" l="1"/>
  <c r="F23" i="1"/>
  <c r="B24" i="1"/>
  <c r="G23" i="1"/>
  <c r="D24" i="1" s="1"/>
  <c r="C24" i="1"/>
  <c r="G24" i="1" l="1"/>
  <c r="D25" i="1" s="1"/>
  <c r="F24" i="1"/>
  <c r="C25" i="1" s="1"/>
  <c r="E24" i="1"/>
  <c r="B25" i="1" s="1"/>
  <c r="B26" i="1" l="1"/>
  <c r="F25" i="1"/>
  <c r="E25" i="1"/>
  <c r="C26" i="1"/>
  <c r="G25" i="1"/>
  <c r="D26" i="1"/>
  <c r="G26" i="1" l="1"/>
  <c r="D27" i="1" s="1"/>
  <c r="E26" i="1"/>
  <c r="B27" i="1" s="1"/>
  <c r="F26" i="1"/>
  <c r="C27" i="1" s="1"/>
  <c r="G27" i="1" l="1"/>
  <c r="E27" i="1"/>
  <c r="F27" i="1"/>
  <c r="C28" i="1" s="1"/>
  <c r="B28" i="1"/>
  <c r="D28" i="1"/>
  <c r="G28" i="1" l="1"/>
  <c r="D29" i="1"/>
  <c r="F28" i="1"/>
  <c r="C29" i="1" s="1"/>
  <c r="E28" i="1"/>
  <c r="B29" i="1" s="1"/>
  <c r="F29" i="1" l="1"/>
  <c r="E29" i="1"/>
  <c r="B30" i="1" s="1"/>
  <c r="C30" i="1"/>
  <c r="G29" i="1"/>
  <c r="D30" i="1"/>
  <c r="F30" i="1" l="1"/>
  <c r="E30" i="1"/>
  <c r="B31" i="1" s="1"/>
  <c r="G30" i="1"/>
  <c r="D31" i="1" s="1"/>
  <c r="C31" i="1"/>
  <c r="E31" i="1" l="1"/>
  <c r="F31" i="1"/>
  <c r="B32" i="1"/>
  <c r="G31" i="1"/>
  <c r="D32" i="1" s="1"/>
  <c r="C32" i="1"/>
  <c r="G32" i="1" l="1"/>
  <c r="D33" i="1" s="1"/>
  <c r="F32" i="1"/>
  <c r="C33" i="1" s="1"/>
  <c r="E32" i="1"/>
  <c r="B33" i="1" s="1"/>
  <c r="F33" i="1" l="1"/>
  <c r="C34" i="1" s="1"/>
  <c r="E33" i="1"/>
  <c r="B34" i="1" s="1"/>
  <c r="G33" i="1"/>
  <c r="D34" i="1" s="1"/>
  <c r="E34" i="1" l="1"/>
  <c r="B35" i="1" s="1"/>
  <c r="F34" i="1"/>
  <c r="G34" i="1"/>
  <c r="D35" i="1" s="1"/>
  <c r="C35" i="1"/>
  <c r="E35" i="1" l="1"/>
  <c r="B36" i="1" s="1"/>
  <c r="F35" i="1"/>
  <c r="C36" i="1" s="1"/>
  <c r="G35" i="1"/>
  <c r="D36" i="1" s="1"/>
  <c r="G36" i="1" l="1"/>
  <c r="D37" i="1" s="1"/>
  <c r="F36" i="1"/>
  <c r="C37" i="1" s="1"/>
  <c r="E36" i="1"/>
  <c r="B37" i="1" s="1"/>
  <c r="F37" i="1" l="1"/>
  <c r="E37" i="1"/>
  <c r="B38" i="1" s="1"/>
  <c r="C38" i="1"/>
  <c r="G37" i="1"/>
  <c r="D38" i="1"/>
  <c r="F38" i="1" l="1"/>
  <c r="E38" i="1"/>
  <c r="B39" i="1" s="1"/>
  <c r="G38" i="1"/>
  <c r="D39" i="1" s="1"/>
  <c r="C39" i="1"/>
  <c r="E39" i="1" l="1"/>
  <c r="F39" i="1"/>
  <c r="C40" i="1" s="1"/>
  <c r="B40" i="1"/>
  <c r="G39" i="1"/>
  <c r="D40" i="1" s="1"/>
  <c r="G40" i="1" l="1"/>
  <c r="D41" i="1" s="1"/>
  <c r="F40" i="1"/>
  <c r="C41" i="1" s="1"/>
  <c r="E40" i="1"/>
  <c r="B41" i="1" s="1"/>
  <c r="F41" i="1" l="1"/>
  <c r="E41" i="1"/>
  <c r="B42" i="1" s="1"/>
  <c r="C42" i="1"/>
  <c r="G41" i="1"/>
  <c r="D42" i="1" s="1"/>
  <c r="E42" i="1" l="1"/>
  <c r="B43" i="1" s="1"/>
  <c r="F42" i="1"/>
  <c r="C43" i="1"/>
  <c r="G42" i="1"/>
  <c r="D43" i="1" s="1"/>
  <c r="E43" i="1" l="1"/>
  <c r="F43" i="1"/>
  <c r="B44" i="1"/>
  <c r="C44" i="1"/>
  <c r="G43" i="1"/>
  <c r="D44" i="1" s="1"/>
  <c r="G44" i="1" l="1"/>
  <c r="D45" i="1" s="1"/>
  <c r="F44" i="1"/>
  <c r="C45" i="1" s="1"/>
  <c r="E44" i="1"/>
  <c r="B45" i="1" s="1"/>
  <c r="F45" i="1" l="1"/>
  <c r="E45" i="1"/>
  <c r="B46" i="1" s="1"/>
  <c r="C46" i="1"/>
  <c r="G45" i="1"/>
  <c r="D46" i="1"/>
  <c r="B47" i="1" l="1"/>
  <c r="F46" i="1"/>
  <c r="E46" i="1"/>
  <c r="G46" i="1"/>
  <c r="C47" i="1"/>
  <c r="D47" i="1"/>
  <c r="G47" i="1" l="1"/>
  <c r="D48" i="1" s="1"/>
  <c r="E47" i="1"/>
  <c r="F47" i="1"/>
  <c r="C48" i="1" s="1"/>
  <c r="B48" i="1"/>
  <c r="G48" i="1" l="1"/>
  <c r="D49" i="1"/>
  <c r="F48" i="1"/>
  <c r="C49" i="1" s="1"/>
  <c r="E48" i="1"/>
  <c r="B49" i="1" s="1"/>
  <c r="F49" i="1" l="1"/>
  <c r="E49" i="1"/>
  <c r="B50" i="1" s="1"/>
  <c r="C50" i="1"/>
  <c r="G49" i="1"/>
  <c r="D50" i="1"/>
  <c r="E50" i="1" l="1"/>
  <c r="B51" i="1" s="1"/>
  <c r="F50" i="1"/>
  <c r="G50" i="1"/>
  <c r="D51" i="1" s="1"/>
  <c r="C51" i="1"/>
  <c r="D52" i="1" l="1"/>
  <c r="E51" i="1"/>
  <c r="F51" i="1"/>
  <c r="B52" i="1"/>
  <c r="C52" i="1"/>
  <c r="G51" i="1"/>
  <c r="G52" i="1" l="1"/>
  <c r="F52" i="1"/>
  <c r="C53" i="1" s="1"/>
  <c r="E52" i="1"/>
  <c r="B53" i="1" s="1"/>
  <c r="D53" i="1"/>
  <c r="F53" i="1" l="1"/>
  <c r="E53" i="1"/>
  <c r="B54" i="1" s="1"/>
  <c r="C54" i="1"/>
  <c r="G53" i="1"/>
  <c r="D54" i="1"/>
  <c r="F54" i="1" l="1"/>
  <c r="E54" i="1"/>
  <c r="B55" i="1" s="1"/>
  <c r="G54" i="1"/>
  <c r="D55" i="1" s="1"/>
  <c r="C55" i="1"/>
  <c r="E55" i="1" l="1"/>
  <c r="F55" i="1"/>
  <c r="B56" i="1"/>
  <c r="G55" i="1"/>
  <c r="D56" i="1" s="1"/>
  <c r="C56" i="1"/>
  <c r="F56" i="1" l="1"/>
  <c r="E56" i="1"/>
  <c r="B57" i="1" s="1"/>
  <c r="G56" i="1"/>
  <c r="D57" i="1" s="1"/>
  <c r="C57" i="1"/>
  <c r="F57" i="1" l="1"/>
  <c r="E57" i="1"/>
  <c r="B58" i="1" s="1"/>
  <c r="C58" i="1"/>
  <c r="G57" i="1"/>
  <c r="D58" i="1" s="1"/>
  <c r="F58" i="1" l="1"/>
  <c r="E58" i="1"/>
  <c r="B59" i="1" s="1"/>
  <c r="C59" i="1"/>
  <c r="G58" i="1"/>
  <c r="D59" i="1" s="1"/>
  <c r="E59" i="1" l="1"/>
  <c r="B60" i="1" s="1"/>
  <c r="F59" i="1"/>
  <c r="C60" i="1"/>
  <c r="G59" i="1"/>
  <c r="D60" i="1" s="1"/>
  <c r="F60" i="1" l="1"/>
  <c r="E60" i="1"/>
  <c r="B61" i="1" s="1"/>
  <c r="G60" i="1"/>
  <c r="D61" i="1" s="1"/>
  <c r="C61" i="1"/>
  <c r="F61" i="1" l="1"/>
  <c r="E61" i="1"/>
  <c r="B62" i="1" s="1"/>
  <c r="C62" i="1"/>
  <c r="G61" i="1"/>
  <c r="D62" i="1" s="1"/>
  <c r="F62" i="1" l="1"/>
  <c r="E62" i="1"/>
  <c r="B63" i="1" s="1"/>
  <c r="G62" i="1"/>
  <c r="D63" i="1" s="1"/>
  <c r="C63" i="1"/>
  <c r="D64" i="1" l="1"/>
  <c r="E63" i="1"/>
  <c r="B64" i="1" s="1"/>
  <c r="F63" i="1"/>
  <c r="C64" i="1" s="1"/>
  <c r="G63" i="1"/>
  <c r="G64" i="1" l="1"/>
  <c r="F64" i="1"/>
  <c r="C65" i="1" s="1"/>
  <c r="E64" i="1"/>
  <c r="B65" i="1" s="1"/>
  <c r="D65" i="1"/>
  <c r="B66" i="1" l="1"/>
  <c r="F65" i="1"/>
  <c r="E65" i="1"/>
  <c r="C66" i="1"/>
  <c r="G65" i="1"/>
  <c r="D66" i="1"/>
  <c r="G66" i="1" l="1"/>
  <c r="D67" i="1" s="1"/>
  <c r="E66" i="1"/>
  <c r="B67" i="1" s="1"/>
  <c r="F66" i="1"/>
  <c r="C67" i="1" s="1"/>
  <c r="G67" i="1" l="1"/>
  <c r="E67" i="1"/>
  <c r="F67" i="1"/>
  <c r="C68" i="1" s="1"/>
  <c r="B68" i="1"/>
  <c r="D68" i="1"/>
  <c r="G68" i="1" l="1"/>
  <c r="D69" i="1" s="1"/>
  <c r="C69" i="1"/>
  <c r="F68" i="1"/>
  <c r="E68" i="1"/>
  <c r="B69" i="1" s="1"/>
  <c r="F69" i="1" l="1"/>
  <c r="E69" i="1"/>
  <c r="B70" i="1" s="1"/>
  <c r="C70" i="1"/>
  <c r="G69" i="1"/>
  <c r="D70" i="1" s="1"/>
  <c r="F70" i="1" l="1"/>
  <c r="E70" i="1"/>
  <c r="B71" i="1" s="1"/>
  <c r="G70" i="1"/>
  <c r="D71" i="1" s="1"/>
  <c r="C71" i="1"/>
  <c r="E71" i="1" l="1"/>
  <c r="F71" i="1"/>
  <c r="B72" i="1"/>
  <c r="G71" i="1"/>
  <c r="D72" i="1" s="1"/>
  <c r="C72" i="1"/>
  <c r="G72" i="1" l="1"/>
  <c r="D73" i="1" s="1"/>
  <c r="F72" i="1"/>
  <c r="C73" i="1" s="1"/>
  <c r="E72" i="1"/>
  <c r="B73" i="1" s="1"/>
  <c r="F73" i="1" l="1"/>
  <c r="E73" i="1"/>
  <c r="B74" i="1" s="1"/>
  <c r="C74" i="1"/>
  <c r="G73" i="1"/>
  <c r="D74" i="1"/>
  <c r="F74" i="1" l="1"/>
  <c r="E74" i="1"/>
  <c r="B75" i="1" s="1"/>
  <c r="G74" i="1"/>
  <c r="D75" i="1" s="1"/>
  <c r="C75" i="1"/>
  <c r="E75" i="1" l="1"/>
  <c r="F75" i="1"/>
  <c r="B76" i="1"/>
  <c r="G75" i="1"/>
  <c r="D76" i="1" s="1"/>
  <c r="C76" i="1"/>
  <c r="G76" i="1" l="1"/>
  <c r="D77" i="1" s="1"/>
  <c r="F76" i="1"/>
  <c r="C77" i="1" s="1"/>
  <c r="E76" i="1"/>
  <c r="B77" i="1" s="1"/>
  <c r="F77" i="1" l="1"/>
  <c r="E77" i="1"/>
  <c r="B78" i="1" s="1"/>
  <c r="C78" i="1"/>
  <c r="G77" i="1"/>
  <c r="D78" i="1"/>
  <c r="F78" i="1" l="1"/>
  <c r="E78" i="1"/>
  <c r="B79" i="1" s="1"/>
  <c r="C79" i="1"/>
  <c r="G78" i="1"/>
  <c r="D79" i="1" s="1"/>
  <c r="E79" i="1" l="1"/>
  <c r="F79" i="1"/>
  <c r="B80" i="1"/>
  <c r="G79" i="1"/>
  <c r="D80" i="1" s="1"/>
  <c r="C80" i="1"/>
  <c r="G80" i="1" l="1"/>
  <c r="D81" i="1" s="1"/>
  <c r="F80" i="1"/>
  <c r="C81" i="1" s="1"/>
  <c r="E80" i="1"/>
  <c r="B81" i="1"/>
  <c r="G81" i="1" l="1"/>
  <c r="D82" i="1"/>
  <c r="F81" i="1"/>
  <c r="C82" i="1" s="1"/>
  <c r="E81" i="1"/>
  <c r="B82" i="1" s="1"/>
  <c r="E82" i="1" l="1"/>
  <c r="B83" i="1" s="1"/>
  <c r="F82" i="1"/>
  <c r="C83" i="1" s="1"/>
  <c r="G82" i="1"/>
  <c r="D83" i="1" s="1"/>
  <c r="G83" i="1" l="1"/>
  <c r="D84" i="1" s="1"/>
  <c r="E83" i="1"/>
  <c r="F83" i="1"/>
  <c r="C84" i="1" s="1"/>
  <c r="B84" i="1"/>
  <c r="G84" i="1" l="1"/>
  <c r="D85" i="1"/>
  <c r="F84" i="1"/>
  <c r="C85" i="1" s="1"/>
  <c r="E84" i="1"/>
  <c r="B85" i="1" s="1"/>
  <c r="F85" i="1" l="1"/>
  <c r="C86" i="1" s="1"/>
  <c r="E85" i="1"/>
  <c r="B86" i="1" s="1"/>
  <c r="G85" i="1"/>
  <c r="D86" i="1" s="1"/>
  <c r="F86" i="1" l="1"/>
  <c r="E86" i="1"/>
  <c r="B87" i="1" s="1"/>
  <c r="C87" i="1"/>
  <c r="G86" i="1"/>
  <c r="D87" i="1" s="1"/>
  <c r="E87" i="1" l="1"/>
  <c r="B88" i="1"/>
  <c r="F87" i="1"/>
  <c r="G87" i="1"/>
  <c r="D88" i="1" s="1"/>
  <c r="C88" i="1"/>
  <c r="G88" i="1" l="1"/>
  <c r="D89" i="1" s="1"/>
  <c r="F88" i="1"/>
  <c r="C89" i="1" s="1"/>
  <c r="E88" i="1"/>
  <c r="B89" i="1" s="1"/>
  <c r="G89" i="1" l="1"/>
  <c r="F89" i="1"/>
  <c r="C90" i="1" s="1"/>
  <c r="E89" i="1"/>
  <c r="B90" i="1" s="1"/>
  <c r="D90" i="1"/>
  <c r="C91" i="1" l="1"/>
  <c r="G90" i="1"/>
  <c r="F90" i="1"/>
  <c r="E90" i="1"/>
  <c r="B91" i="1" s="1"/>
  <c r="D91" i="1"/>
  <c r="E91" i="1" l="1"/>
  <c r="F91" i="1"/>
  <c r="B92" i="1"/>
  <c r="G91" i="1"/>
  <c r="D92" i="1" s="1"/>
  <c r="C92" i="1"/>
  <c r="G92" i="1" l="1"/>
  <c r="D93" i="1" s="1"/>
  <c r="F92" i="1"/>
  <c r="C93" i="1" s="1"/>
  <c r="E92" i="1"/>
  <c r="B93" i="1" s="1"/>
  <c r="F93" i="1" l="1"/>
  <c r="E93" i="1"/>
  <c r="B94" i="1" s="1"/>
  <c r="C94" i="1"/>
  <c r="G93" i="1"/>
  <c r="D94" i="1"/>
  <c r="E94" i="1" l="1"/>
  <c r="F94" i="1"/>
  <c r="B95" i="1"/>
  <c r="G94" i="1"/>
  <c r="D95" i="1" s="1"/>
  <c r="C95" i="1"/>
  <c r="G95" i="1" l="1"/>
  <c r="D96" i="1" s="1"/>
  <c r="E95" i="1"/>
  <c r="B96" i="1" s="1"/>
  <c r="F95" i="1"/>
  <c r="C96" i="1" s="1"/>
  <c r="G96" i="1" l="1"/>
  <c r="F96" i="1"/>
  <c r="C97" i="1" s="1"/>
  <c r="E96" i="1"/>
  <c r="B97" i="1"/>
  <c r="D97" i="1"/>
  <c r="G97" i="1" l="1"/>
  <c r="D98" i="1"/>
  <c r="E97" i="1"/>
  <c r="B98" i="1" s="1"/>
  <c r="F97" i="1"/>
  <c r="C98" i="1" s="1"/>
  <c r="G98" i="1" l="1"/>
  <c r="E98" i="1"/>
  <c r="B99" i="1" s="1"/>
  <c r="F98" i="1"/>
  <c r="C99" i="1" s="1"/>
  <c r="D99" i="1"/>
  <c r="G99" i="1" l="1"/>
  <c r="E99" i="1"/>
  <c r="F99" i="1"/>
  <c r="C100" i="1" s="1"/>
  <c r="B100" i="1"/>
  <c r="D100" i="1"/>
  <c r="G100" i="1" l="1"/>
  <c r="F100" i="1"/>
  <c r="C101" i="1" s="1"/>
  <c r="E100" i="1"/>
  <c r="B101" i="1"/>
  <c r="D101" i="1"/>
  <c r="G101" i="1" l="1"/>
  <c r="D102" i="1"/>
  <c r="E101" i="1"/>
  <c r="B102" i="1" s="1"/>
  <c r="F101" i="1"/>
  <c r="C102" i="1" s="1"/>
  <c r="G102" i="1" l="1"/>
  <c r="E102" i="1"/>
  <c r="F102" i="1"/>
  <c r="C103" i="1" s="1"/>
  <c r="B103" i="1"/>
  <c r="D103" i="1"/>
  <c r="G103" i="1" l="1"/>
  <c r="D104" i="1"/>
  <c r="F103" i="1"/>
  <c r="C104" i="1" s="1"/>
  <c r="E103" i="1"/>
  <c r="B104" i="1" s="1"/>
  <c r="F104" i="1" l="1"/>
  <c r="E104" i="1"/>
  <c r="B105" i="1" s="1"/>
  <c r="C105" i="1"/>
  <c r="G104" i="1"/>
  <c r="D105" i="1"/>
  <c r="E105" i="1" l="1"/>
  <c r="B106" i="1" s="1"/>
  <c r="F105" i="1"/>
  <c r="G105" i="1"/>
  <c r="D106" i="1" s="1"/>
  <c r="C106" i="1"/>
  <c r="F106" i="1" l="1"/>
  <c r="E106" i="1"/>
  <c r="B107" i="1" s="1"/>
  <c r="G106" i="1"/>
  <c r="D107" i="1" s="1"/>
  <c r="C107" i="1"/>
  <c r="E107" i="1" l="1"/>
  <c r="B108" i="1" s="1"/>
  <c r="F107" i="1"/>
  <c r="C108" i="1"/>
  <c r="G107" i="1"/>
  <c r="D108" i="1" s="1"/>
  <c r="D109" i="1" l="1"/>
  <c r="F108" i="1"/>
  <c r="E108" i="1"/>
  <c r="B109" i="1" s="1"/>
  <c r="C109" i="1"/>
  <c r="G108" i="1"/>
  <c r="F109" i="1" l="1"/>
  <c r="E109" i="1"/>
  <c r="B110" i="1" s="1"/>
  <c r="G109" i="1"/>
  <c r="D110" i="1" s="1"/>
  <c r="C110" i="1"/>
  <c r="E110" i="1" l="1"/>
  <c r="B111" i="1" s="1"/>
  <c r="F110" i="1"/>
  <c r="C111" i="1"/>
  <c r="G110" i="1"/>
  <c r="D111" i="1" s="1"/>
  <c r="E111" i="1" l="1"/>
  <c r="F111" i="1"/>
  <c r="B112" i="1"/>
  <c r="G111" i="1"/>
  <c r="D112" i="1" s="1"/>
  <c r="C112" i="1"/>
  <c r="G112" i="1" l="1"/>
  <c r="D113" i="1" s="1"/>
  <c r="F112" i="1"/>
  <c r="C113" i="1" s="1"/>
  <c r="E112" i="1"/>
  <c r="B113" i="1" s="1"/>
  <c r="E113" i="1" l="1"/>
  <c r="B114" i="1" s="1"/>
  <c r="F113" i="1"/>
  <c r="C114" i="1" s="1"/>
  <c r="G113" i="1"/>
  <c r="D114" i="1" s="1"/>
  <c r="G114" i="1" l="1"/>
  <c r="D115" i="1" s="1"/>
  <c r="E114" i="1"/>
  <c r="F114" i="1"/>
  <c r="C115" i="1" s="1"/>
  <c r="B115" i="1"/>
  <c r="G115" i="1" l="1"/>
  <c r="D116" i="1"/>
  <c r="F115" i="1"/>
  <c r="C116" i="1" s="1"/>
  <c r="E115" i="1"/>
  <c r="B116" i="1" s="1"/>
  <c r="F116" i="1" l="1"/>
  <c r="E116" i="1"/>
  <c r="B117" i="1"/>
  <c r="C117" i="1"/>
  <c r="G116" i="1"/>
  <c r="D117" i="1"/>
  <c r="G117" i="1" l="1"/>
  <c r="D118" i="1" s="1"/>
  <c r="E117" i="1"/>
  <c r="B118" i="1" s="1"/>
  <c r="F117" i="1"/>
  <c r="C118" i="1" s="1"/>
  <c r="G118" i="1" l="1"/>
  <c r="F118" i="1"/>
  <c r="C119" i="1" s="1"/>
  <c r="E118" i="1"/>
  <c r="B119" i="1" s="1"/>
  <c r="D119" i="1"/>
  <c r="E119" i="1" l="1"/>
  <c r="B120" i="1" s="1"/>
  <c r="F119" i="1"/>
  <c r="C120" i="1"/>
  <c r="G119" i="1"/>
  <c r="D120" i="1"/>
  <c r="F120" i="1" l="1"/>
  <c r="E120" i="1"/>
  <c r="B121" i="1"/>
  <c r="G120" i="1"/>
  <c r="C121" i="1"/>
  <c r="D121" i="1"/>
  <c r="G121" i="1" l="1"/>
  <c r="D122" i="1" s="1"/>
  <c r="F121" i="1"/>
  <c r="C122" i="1" s="1"/>
  <c r="E121" i="1"/>
  <c r="B122" i="1" s="1"/>
  <c r="E122" i="1" l="1"/>
  <c r="F122" i="1"/>
  <c r="B123" i="1"/>
  <c r="C123" i="1"/>
  <c r="G122" i="1"/>
  <c r="D123" i="1"/>
  <c r="E123" i="1" l="1"/>
  <c r="F123" i="1"/>
  <c r="B124" i="1"/>
  <c r="G123" i="1"/>
  <c r="D124" i="1" s="1"/>
  <c r="C124" i="1"/>
  <c r="G124" i="1" l="1"/>
  <c r="D125" i="1" s="1"/>
  <c r="F124" i="1"/>
  <c r="C125" i="1" s="1"/>
  <c r="E124" i="1"/>
  <c r="B125" i="1" s="1"/>
  <c r="E125" i="1" l="1"/>
  <c r="B126" i="1" s="1"/>
  <c r="F125" i="1"/>
  <c r="C126" i="1"/>
  <c r="G125" i="1"/>
  <c r="D126" i="1"/>
  <c r="E126" i="1" l="1"/>
  <c r="F126" i="1"/>
  <c r="B127" i="1"/>
  <c r="C127" i="1"/>
  <c r="G126" i="1"/>
  <c r="D127" i="1"/>
  <c r="E127" i="1" l="1"/>
  <c r="F127" i="1"/>
  <c r="B128" i="1"/>
  <c r="G127" i="1"/>
  <c r="D128" i="1" s="1"/>
  <c r="C128" i="1"/>
  <c r="G128" i="1" l="1"/>
  <c r="D129" i="1" s="1"/>
  <c r="F128" i="1"/>
  <c r="C129" i="1" s="1"/>
  <c r="E128" i="1"/>
  <c r="B129" i="1" s="1"/>
  <c r="F129" i="1" l="1"/>
  <c r="E129" i="1"/>
  <c r="B130" i="1" s="1"/>
  <c r="C130" i="1"/>
  <c r="G129" i="1"/>
  <c r="D130" i="1"/>
  <c r="E130" i="1" l="1"/>
  <c r="B131" i="1"/>
  <c r="F130" i="1"/>
  <c r="C131" i="1"/>
  <c r="G130" i="1"/>
  <c r="D131" i="1" s="1"/>
  <c r="G131" i="1" l="1"/>
  <c r="D132" i="1" s="1"/>
  <c r="E131" i="1"/>
  <c r="F131" i="1"/>
  <c r="C132" i="1" s="1"/>
  <c r="B132" i="1"/>
  <c r="G132" i="1" l="1"/>
  <c r="D133" i="1"/>
  <c r="E132" i="1"/>
  <c r="B133" i="1" s="1"/>
  <c r="F132" i="1"/>
  <c r="C133" i="1" s="1"/>
  <c r="G133" i="1" l="1"/>
  <c r="E133" i="1"/>
  <c r="B134" i="1" s="1"/>
  <c r="F133" i="1"/>
  <c r="C134" i="1" s="1"/>
  <c r="D134" i="1"/>
  <c r="G134" i="1" l="1"/>
  <c r="E134" i="1"/>
  <c r="F134" i="1"/>
  <c r="C135" i="1" s="1"/>
  <c r="B135" i="1"/>
  <c r="D135" i="1"/>
  <c r="G135" i="1" l="1"/>
  <c r="D136" i="1"/>
  <c r="E135" i="1"/>
  <c r="F135" i="1"/>
  <c r="C136" i="1" s="1"/>
  <c r="B136" i="1"/>
  <c r="G136" i="1" l="1"/>
  <c r="E136" i="1"/>
  <c r="B137" i="1" s="1"/>
  <c r="F136" i="1"/>
  <c r="C137" i="1" s="1"/>
  <c r="D137" i="1"/>
  <c r="G137" i="1" l="1"/>
  <c r="F137" i="1"/>
  <c r="C138" i="1" s="1"/>
  <c r="E137" i="1"/>
  <c r="B138" i="1" s="1"/>
  <c r="D138" i="1"/>
  <c r="E138" i="1" l="1"/>
  <c r="F138" i="1"/>
  <c r="B139" i="1"/>
  <c r="G138" i="1"/>
  <c r="C139" i="1"/>
  <c r="D139" i="1"/>
  <c r="G139" i="1" l="1"/>
  <c r="D140" i="1" s="1"/>
  <c r="E139" i="1"/>
  <c r="F139" i="1"/>
  <c r="C140" i="1" s="1"/>
  <c r="B140" i="1"/>
  <c r="G140" i="1" l="1"/>
  <c r="D141" i="1"/>
  <c r="E140" i="1"/>
  <c r="B141" i="1" s="1"/>
  <c r="F140" i="1"/>
  <c r="C141" i="1" s="1"/>
  <c r="G141" i="1" l="1"/>
  <c r="E141" i="1"/>
  <c r="F141" i="1"/>
  <c r="C142" i="1" s="1"/>
  <c r="B142" i="1"/>
  <c r="D142" i="1"/>
  <c r="G142" i="1" l="1"/>
  <c r="D143" i="1"/>
  <c r="E142" i="1"/>
  <c r="F142" i="1"/>
  <c r="C143" i="1" s="1"/>
  <c r="B143" i="1"/>
  <c r="G143" i="1" l="1"/>
  <c r="E143" i="1"/>
  <c r="F143" i="1"/>
  <c r="C144" i="1" s="1"/>
  <c r="B144" i="1"/>
  <c r="D144" i="1"/>
  <c r="G144" i="1" l="1"/>
  <c r="D145" i="1" s="1"/>
  <c r="E144" i="1"/>
  <c r="B145" i="1" s="1"/>
  <c r="F144" i="1"/>
  <c r="C145" i="1" s="1"/>
  <c r="G145" i="1" l="1"/>
  <c r="E145" i="1"/>
  <c r="B146" i="1" s="1"/>
  <c r="F145" i="1"/>
  <c r="C146" i="1" s="1"/>
  <c r="D146" i="1"/>
  <c r="G146" i="1" l="1"/>
  <c r="E146" i="1"/>
  <c r="B147" i="1"/>
  <c r="F146" i="1"/>
  <c r="C147" i="1" s="1"/>
  <c r="D147" i="1"/>
  <c r="G147" i="1" l="1"/>
  <c r="E147" i="1"/>
  <c r="F147" i="1"/>
  <c r="C148" i="1" s="1"/>
  <c r="B148" i="1"/>
  <c r="D148" i="1"/>
  <c r="G148" i="1" l="1"/>
  <c r="D149" i="1"/>
  <c r="F148" i="1"/>
  <c r="C149" i="1" s="1"/>
  <c r="E148" i="1"/>
  <c r="B149" i="1" s="1"/>
  <c r="E149" i="1" l="1"/>
  <c r="F149" i="1"/>
  <c r="B150" i="1"/>
  <c r="C150" i="1"/>
  <c r="G149" i="1"/>
  <c r="D150" i="1"/>
  <c r="G150" i="1" l="1"/>
  <c r="D151" i="1" s="1"/>
  <c r="E150" i="1"/>
  <c r="B151" i="1" s="1"/>
  <c r="F150" i="1"/>
  <c r="C151" i="1" s="1"/>
  <c r="G151" i="1" l="1"/>
  <c r="E151" i="1"/>
  <c r="F151" i="1"/>
  <c r="C152" i="1" s="1"/>
  <c r="B152" i="1"/>
  <c r="D152" i="1"/>
  <c r="G152" i="1" l="1"/>
  <c r="D153" i="1" s="1"/>
  <c r="E152" i="1"/>
  <c r="B153" i="1" s="1"/>
  <c r="F152" i="1"/>
  <c r="C153" i="1" s="1"/>
  <c r="C154" i="1" l="1"/>
  <c r="G153" i="1"/>
  <c r="E153" i="1"/>
  <c r="F153" i="1"/>
  <c r="B154" i="1"/>
  <c r="D154" i="1"/>
  <c r="E154" i="1" l="1"/>
  <c r="F154" i="1"/>
  <c r="B155" i="1"/>
  <c r="C155" i="1"/>
  <c r="G154" i="1"/>
  <c r="D155" i="1" s="1"/>
  <c r="G155" i="1" l="1"/>
  <c r="D156" i="1" s="1"/>
  <c r="E155" i="1"/>
  <c r="F155" i="1"/>
  <c r="C156" i="1" s="1"/>
  <c r="B156" i="1"/>
  <c r="G156" i="1" l="1"/>
  <c r="D157" i="1" s="1"/>
  <c r="F156" i="1"/>
  <c r="C157" i="1" s="1"/>
  <c r="E156" i="1"/>
  <c r="B157" i="1" s="1"/>
  <c r="E157" i="1" l="1"/>
  <c r="F157" i="1"/>
  <c r="B158" i="1"/>
  <c r="C158" i="1"/>
  <c r="G157" i="1"/>
  <c r="D158" i="1"/>
  <c r="G158" i="1" l="1"/>
  <c r="D159" i="1" s="1"/>
  <c r="E158" i="1"/>
  <c r="B159" i="1"/>
  <c r="F158" i="1"/>
  <c r="C159" i="1" s="1"/>
  <c r="G159" i="1" l="1"/>
  <c r="D160" i="1" s="1"/>
  <c r="E159" i="1"/>
  <c r="F159" i="1"/>
  <c r="C160" i="1" s="1"/>
  <c r="B160" i="1"/>
  <c r="G160" i="1" l="1"/>
  <c r="D161" i="1"/>
  <c r="E160" i="1"/>
  <c r="B161" i="1" s="1"/>
  <c r="F160" i="1"/>
  <c r="C161" i="1" s="1"/>
  <c r="G161" i="1" l="1"/>
  <c r="F161" i="1"/>
  <c r="C162" i="1" s="1"/>
  <c r="E161" i="1"/>
  <c r="B162" i="1" s="1"/>
  <c r="D162" i="1"/>
  <c r="E162" i="1" l="1"/>
  <c r="F162" i="1"/>
  <c r="B163" i="1"/>
  <c r="C163" i="1"/>
  <c r="G162" i="1"/>
  <c r="D163" i="1"/>
  <c r="E163" i="1" l="1"/>
  <c r="F163" i="1"/>
  <c r="B164" i="1"/>
  <c r="G163" i="1"/>
  <c r="D164" i="1" s="1"/>
  <c r="C164" i="1"/>
  <c r="G164" i="1" l="1"/>
  <c r="D165" i="1" s="1"/>
  <c r="E164" i="1"/>
  <c r="B165" i="1" s="1"/>
  <c r="F164" i="1"/>
  <c r="C165" i="1" s="1"/>
  <c r="G165" i="1" l="1"/>
  <c r="E165" i="1"/>
  <c r="F165" i="1"/>
  <c r="C166" i="1" s="1"/>
  <c r="B166" i="1"/>
  <c r="D166" i="1"/>
  <c r="G166" i="1" l="1"/>
  <c r="D167" i="1"/>
  <c r="F166" i="1"/>
  <c r="C167" i="1" s="1"/>
  <c r="E166" i="1"/>
  <c r="B167" i="1" s="1"/>
  <c r="E167" i="1" l="1"/>
  <c r="B168" i="1" s="1"/>
  <c r="F167" i="1"/>
  <c r="C168" i="1"/>
  <c r="G167" i="1"/>
  <c r="D168" i="1"/>
  <c r="E168" i="1" l="1"/>
  <c r="F168" i="1"/>
  <c r="B169" i="1"/>
  <c r="G168" i="1"/>
  <c r="D169" i="1" s="1"/>
  <c r="C169" i="1"/>
  <c r="G169" i="1" l="1"/>
  <c r="D170" i="1" s="1"/>
  <c r="F169" i="1"/>
  <c r="C170" i="1" s="1"/>
  <c r="E169" i="1"/>
  <c r="B170" i="1" s="1"/>
  <c r="E170" i="1" l="1"/>
  <c r="B171" i="1"/>
  <c r="F170" i="1"/>
  <c r="C171" i="1"/>
  <c r="G170" i="1"/>
  <c r="D171" i="1"/>
  <c r="G171" i="1" l="1"/>
  <c r="D172" i="1" s="1"/>
  <c r="E171" i="1"/>
  <c r="F171" i="1"/>
  <c r="C172" i="1" s="1"/>
  <c r="B172" i="1"/>
  <c r="G172" i="1" l="1"/>
  <c r="D173" i="1"/>
  <c r="F172" i="1"/>
  <c r="C173" i="1" s="1"/>
  <c r="E172" i="1"/>
  <c r="B173" i="1"/>
  <c r="G173" i="1" l="1"/>
  <c r="E173" i="1"/>
  <c r="B174" i="1" s="1"/>
  <c r="F173" i="1"/>
  <c r="C174" i="1" s="1"/>
  <c r="D174" i="1"/>
  <c r="G174" i="1" l="1"/>
  <c r="F174" i="1"/>
  <c r="C175" i="1" s="1"/>
  <c r="E174" i="1"/>
  <c r="B175" i="1" s="1"/>
  <c r="D175" i="1"/>
  <c r="E175" i="1" l="1"/>
  <c r="F175" i="1"/>
  <c r="B176" i="1"/>
  <c r="C176" i="1"/>
  <c r="G175" i="1"/>
  <c r="D176" i="1"/>
  <c r="G176" i="1" l="1"/>
  <c r="D177" i="1" s="1"/>
  <c r="E176" i="1"/>
  <c r="B177" i="1"/>
  <c r="F176" i="1"/>
  <c r="C177" i="1" s="1"/>
  <c r="G177" i="1" l="1"/>
  <c r="D178" i="1" s="1"/>
  <c r="F177" i="1"/>
  <c r="C178" i="1" s="1"/>
  <c r="E177" i="1"/>
  <c r="B178" i="1" s="1"/>
  <c r="F178" i="1" l="1"/>
  <c r="E178" i="1"/>
  <c r="B179" i="1" s="1"/>
  <c r="C179" i="1"/>
  <c r="G178" i="1"/>
  <c r="D179" i="1"/>
  <c r="E179" i="1" l="1"/>
  <c r="B180" i="1" s="1"/>
  <c r="F179" i="1"/>
  <c r="C180" i="1"/>
  <c r="G179" i="1"/>
  <c r="D180" i="1" s="1"/>
  <c r="F180" i="1" l="1"/>
  <c r="E180" i="1"/>
  <c r="B181" i="1" s="1"/>
  <c r="G180" i="1"/>
  <c r="D181" i="1" s="1"/>
  <c r="C181" i="1"/>
  <c r="E181" i="1" l="1"/>
  <c r="F181" i="1"/>
  <c r="B182" i="1"/>
  <c r="C182" i="1"/>
  <c r="G181" i="1"/>
  <c r="D182" i="1" s="1"/>
  <c r="G182" i="1" l="1"/>
  <c r="D183" i="1" s="1"/>
  <c r="E182" i="1"/>
  <c r="F182" i="1"/>
  <c r="C183" i="1" s="1"/>
  <c r="B183" i="1"/>
  <c r="G183" i="1" l="1"/>
  <c r="D184" i="1" s="1"/>
  <c r="E183" i="1"/>
  <c r="B184" i="1" s="1"/>
  <c r="F183" i="1"/>
  <c r="C184" i="1" s="1"/>
  <c r="G184" i="1" l="1"/>
  <c r="D185" i="1" s="1"/>
  <c r="E184" i="1"/>
  <c r="B185" i="1" s="1"/>
  <c r="F184" i="1"/>
  <c r="C185" i="1" s="1"/>
  <c r="G185" i="1" l="1"/>
  <c r="E185" i="1"/>
  <c r="F185" i="1"/>
  <c r="C186" i="1" s="1"/>
  <c r="B186" i="1"/>
  <c r="D186" i="1"/>
  <c r="G186" i="1" l="1"/>
  <c r="D187" i="1"/>
  <c r="E186" i="1"/>
  <c r="B187" i="1" s="1"/>
  <c r="F186" i="1"/>
  <c r="C187" i="1" s="1"/>
  <c r="G187" i="1" l="1"/>
  <c r="E187" i="1"/>
  <c r="B188" i="1"/>
  <c r="F187" i="1"/>
  <c r="C188" i="1" s="1"/>
  <c r="D188" i="1"/>
  <c r="G188" i="1" l="1"/>
  <c r="D189" i="1"/>
  <c r="E188" i="1"/>
  <c r="F188" i="1"/>
  <c r="C189" i="1" s="1"/>
  <c r="B189" i="1"/>
  <c r="G189" i="1" l="1"/>
  <c r="E189" i="1"/>
  <c r="B190" i="1" s="1"/>
  <c r="F189" i="1"/>
  <c r="C190" i="1" s="1"/>
  <c r="D190" i="1"/>
  <c r="G190" i="1" l="1"/>
  <c r="E190" i="1"/>
  <c r="B191" i="1" s="1"/>
  <c r="F190" i="1"/>
  <c r="C191" i="1" s="1"/>
  <c r="D191" i="1"/>
  <c r="E191" i="1" l="1"/>
  <c r="F191" i="1"/>
  <c r="B192" i="1"/>
  <c r="G191" i="1"/>
  <c r="C192" i="1"/>
  <c r="D192" i="1"/>
  <c r="G192" i="1" l="1"/>
  <c r="D193" i="1" s="1"/>
  <c r="E192" i="1"/>
  <c r="B193" i="1" s="1"/>
  <c r="F192" i="1"/>
  <c r="C193" i="1" s="1"/>
  <c r="G193" i="1" l="1"/>
  <c r="F193" i="1"/>
  <c r="C194" i="1" s="1"/>
  <c r="E193" i="1"/>
  <c r="B194" i="1" s="1"/>
  <c r="D194" i="1"/>
  <c r="E194" i="1" l="1"/>
  <c r="F194" i="1"/>
  <c r="B195" i="1"/>
  <c r="G194" i="1"/>
  <c r="C195" i="1"/>
  <c r="D195" i="1"/>
  <c r="G195" i="1" l="1"/>
  <c r="D196" i="1" s="1"/>
  <c r="E195" i="1"/>
  <c r="B196" i="1"/>
  <c r="F195" i="1"/>
  <c r="C196" i="1" s="1"/>
  <c r="G196" i="1" l="1"/>
  <c r="D197" i="1" s="1"/>
  <c r="E196" i="1"/>
  <c r="F196" i="1"/>
  <c r="C197" i="1" s="1"/>
  <c r="B197" i="1"/>
  <c r="C198" i="1" l="1"/>
  <c r="G197" i="1"/>
  <c r="D198" i="1"/>
  <c r="E197" i="1"/>
  <c r="F197" i="1"/>
  <c r="B198" i="1"/>
  <c r="F198" i="1" l="1"/>
  <c r="E198" i="1"/>
  <c r="B199" i="1" s="1"/>
  <c r="C199" i="1"/>
  <c r="G198" i="1"/>
  <c r="D199" i="1" s="1"/>
  <c r="E199" i="1" l="1"/>
  <c r="B200" i="1"/>
  <c r="F199" i="1"/>
  <c r="C200" i="1"/>
  <c r="G199" i="1"/>
  <c r="D200" i="1" s="1"/>
  <c r="G200" i="1" l="1"/>
  <c r="D201" i="1" s="1"/>
  <c r="E200" i="1"/>
  <c r="F200" i="1"/>
  <c r="C201" i="1" s="1"/>
  <c r="B201" i="1"/>
  <c r="G201" i="1" l="1"/>
  <c r="D202" i="1" s="1"/>
  <c r="F201" i="1"/>
  <c r="C202" i="1" s="1"/>
  <c r="E201" i="1"/>
  <c r="B202" i="1" s="1"/>
  <c r="E202" i="1" l="1"/>
  <c r="F202" i="1"/>
  <c r="B203" i="1"/>
  <c r="C203" i="1"/>
  <c r="G202" i="1"/>
  <c r="D203" i="1"/>
  <c r="G203" i="1" l="1"/>
  <c r="D204" i="1" s="1"/>
  <c r="E203" i="1"/>
  <c r="F203" i="1"/>
  <c r="C204" i="1" s="1"/>
  <c r="B204" i="1"/>
  <c r="G204" i="1" l="1"/>
  <c r="D205" i="1"/>
  <c r="F204" i="1"/>
  <c r="C205" i="1" s="1"/>
  <c r="E204" i="1"/>
  <c r="B205" i="1"/>
  <c r="G205" i="1" l="1"/>
  <c r="E205" i="1"/>
  <c r="B206" i="1"/>
  <c r="F205" i="1"/>
  <c r="C206" i="1" s="1"/>
  <c r="D206" i="1"/>
  <c r="G206" i="1" l="1"/>
  <c r="D207" i="1"/>
  <c r="E206" i="1"/>
  <c r="F206" i="1"/>
  <c r="C207" i="1" s="1"/>
  <c r="B207" i="1"/>
  <c r="G207" i="1" l="1"/>
  <c r="E207" i="1"/>
  <c r="B208" i="1" s="1"/>
  <c r="F207" i="1"/>
  <c r="C208" i="1" s="1"/>
  <c r="D208" i="1"/>
  <c r="G208" i="1" l="1"/>
  <c r="E208" i="1"/>
  <c r="F208" i="1"/>
  <c r="C209" i="1" s="1"/>
  <c r="B209" i="1"/>
  <c r="D209" i="1"/>
  <c r="G209" i="1" l="1"/>
  <c r="D210" i="1"/>
  <c r="E209" i="1"/>
  <c r="B210" i="1"/>
  <c r="F209" i="1"/>
  <c r="C210" i="1" s="1"/>
  <c r="G210" i="1" l="1"/>
  <c r="E210" i="1"/>
  <c r="F210" i="1"/>
  <c r="C211" i="1" s="1"/>
  <c r="B211" i="1"/>
  <c r="D211" i="1"/>
  <c r="G211" i="1" l="1"/>
  <c r="D212" i="1" s="1"/>
  <c r="F211" i="1"/>
  <c r="C212" i="1" s="1"/>
  <c r="E211" i="1"/>
  <c r="B212" i="1" s="1"/>
  <c r="E212" i="1" l="1"/>
  <c r="B213" i="1" s="1"/>
  <c r="F212" i="1"/>
  <c r="C213" i="1"/>
  <c r="G212" i="1"/>
  <c r="D213" i="1"/>
  <c r="E213" i="1" l="1"/>
  <c r="B214" i="1"/>
  <c r="F213" i="1"/>
  <c r="C214" i="1"/>
  <c r="G213" i="1"/>
  <c r="D214" i="1" s="1"/>
  <c r="G214" i="1" l="1"/>
  <c r="D215" i="1" s="1"/>
  <c r="E214" i="1"/>
  <c r="F214" i="1"/>
  <c r="C215" i="1" s="1"/>
  <c r="B215" i="1"/>
  <c r="G215" i="1" l="1"/>
  <c r="D216" i="1"/>
  <c r="F215" i="1"/>
  <c r="C216" i="1" s="1"/>
  <c r="E215" i="1"/>
  <c r="B216" i="1" s="1"/>
  <c r="E216" i="1" l="1"/>
  <c r="F216" i="1"/>
  <c r="B217" i="1"/>
  <c r="C217" i="1"/>
  <c r="G216" i="1"/>
  <c r="D217" i="1"/>
  <c r="G217" i="1" l="1"/>
  <c r="D218" i="1" s="1"/>
  <c r="E217" i="1"/>
  <c r="B218" i="1"/>
  <c r="F217" i="1"/>
  <c r="C218" i="1" s="1"/>
  <c r="G218" i="1" l="1"/>
  <c r="D219" i="1"/>
  <c r="E218" i="1"/>
  <c r="F218" i="1"/>
  <c r="C219" i="1" s="1"/>
  <c r="B219" i="1"/>
  <c r="G219" i="1" l="1"/>
  <c r="E219" i="1"/>
  <c r="B220" i="1" s="1"/>
  <c r="F219" i="1"/>
  <c r="C220" i="1" s="1"/>
  <c r="D220" i="1"/>
  <c r="C221" i="1" l="1"/>
  <c r="G220" i="1"/>
  <c r="E220" i="1"/>
  <c r="F220" i="1"/>
  <c r="B221" i="1"/>
  <c r="D221" i="1"/>
  <c r="E221" i="1" l="1"/>
  <c r="F221" i="1"/>
  <c r="B222" i="1"/>
  <c r="C222" i="1"/>
  <c r="G221" i="1"/>
  <c r="D222" i="1"/>
  <c r="G222" i="1" l="1"/>
  <c r="D223" i="1" s="1"/>
  <c r="E222" i="1"/>
  <c r="F222" i="1"/>
  <c r="C223" i="1" s="1"/>
  <c r="B223" i="1"/>
  <c r="G223" i="1" l="1"/>
  <c r="D224" i="1"/>
  <c r="E223" i="1"/>
  <c r="B224" i="1" s="1"/>
  <c r="F223" i="1"/>
  <c r="C224" i="1" s="1"/>
  <c r="G224" i="1" l="1"/>
  <c r="E224" i="1"/>
  <c r="F224" i="1"/>
  <c r="C225" i="1" s="1"/>
  <c r="B225" i="1"/>
  <c r="D225" i="1"/>
  <c r="G225" i="1" l="1"/>
  <c r="D226" i="1"/>
  <c r="E225" i="1"/>
  <c r="B226" i="1" s="1"/>
  <c r="F225" i="1"/>
  <c r="C226" i="1" s="1"/>
  <c r="G226" i="1" l="1"/>
  <c r="E226" i="1"/>
  <c r="F226" i="1"/>
  <c r="C227" i="1" s="1"/>
  <c r="B227" i="1"/>
  <c r="D227" i="1"/>
  <c r="G227" i="1" l="1"/>
  <c r="D228" i="1" s="1"/>
  <c r="F227" i="1"/>
  <c r="C228" i="1" s="1"/>
  <c r="E227" i="1"/>
  <c r="B228" i="1" s="1"/>
  <c r="E228" i="1" l="1"/>
  <c r="F228" i="1"/>
  <c r="C229" i="1" s="1"/>
  <c r="B229" i="1"/>
  <c r="G228" i="1"/>
  <c r="D229" i="1" s="1"/>
  <c r="G229" i="1" l="1"/>
  <c r="D230" i="1" s="1"/>
  <c r="F229" i="1"/>
  <c r="C230" i="1" s="1"/>
  <c r="E229" i="1"/>
  <c r="B230" i="1" s="1"/>
  <c r="E230" i="1" l="1"/>
  <c r="F230" i="1"/>
  <c r="B231" i="1"/>
  <c r="G230" i="1"/>
  <c r="C231" i="1"/>
  <c r="D231" i="1"/>
  <c r="G231" i="1" l="1"/>
  <c r="D232" i="1" s="1"/>
  <c r="E231" i="1"/>
  <c r="B232" i="1" s="1"/>
  <c r="F231" i="1"/>
  <c r="C232" i="1" s="1"/>
  <c r="C233" i="1" l="1"/>
  <c r="G232" i="1"/>
  <c r="E232" i="1"/>
  <c r="B233" i="1" s="1"/>
  <c r="F232" i="1"/>
  <c r="D233" i="1"/>
  <c r="E233" i="1" l="1"/>
  <c r="B234" i="1" s="1"/>
  <c r="F233" i="1"/>
  <c r="G233" i="1"/>
  <c r="D234" i="1" s="1"/>
  <c r="C234" i="1"/>
  <c r="E234" i="1" l="1"/>
  <c r="F234" i="1"/>
  <c r="B235" i="1"/>
  <c r="C235" i="1"/>
  <c r="G234" i="1"/>
  <c r="D235" i="1" s="1"/>
  <c r="G235" i="1" l="1"/>
  <c r="D236" i="1" s="1"/>
  <c r="E235" i="1"/>
  <c r="B236" i="1" s="1"/>
  <c r="F235" i="1"/>
  <c r="C236" i="1" s="1"/>
  <c r="G236" i="1" l="1"/>
  <c r="B237" i="1"/>
  <c r="F236" i="1"/>
  <c r="C237" i="1" s="1"/>
  <c r="E236" i="1"/>
  <c r="D237" i="1"/>
  <c r="G237" i="1" l="1"/>
  <c r="D238" i="1"/>
  <c r="E237" i="1"/>
  <c r="B238" i="1"/>
  <c r="F237" i="1"/>
  <c r="C238" i="1" s="1"/>
  <c r="G238" i="1" l="1"/>
  <c r="E238" i="1"/>
  <c r="F238" i="1"/>
  <c r="C239" i="1" s="1"/>
  <c r="B239" i="1"/>
  <c r="D239" i="1"/>
  <c r="G239" i="1" l="1"/>
  <c r="E239" i="1"/>
  <c r="B240" i="1" s="1"/>
  <c r="F239" i="1"/>
  <c r="C240" i="1" s="1"/>
  <c r="D240" i="1"/>
  <c r="G240" i="1" l="1"/>
  <c r="E240" i="1"/>
  <c r="F240" i="1"/>
  <c r="C241" i="1" s="1"/>
  <c r="B241" i="1"/>
  <c r="D241" i="1"/>
  <c r="G241" i="1" l="1"/>
  <c r="D242" i="1"/>
  <c r="E241" i="1"/>
  <c r="B242" i="1" s="1"/>
  <c r="F241" i="1"/>
  <c r="C242" i="1" s="1"/>
  <c r="G242" i="1" l="1"/>
  <c r="E242" i="1"/>
  <c r="F242" i="1"/>
  <c r="C243" i="1" s="1"/>
  <c r="B243" i="1"/>
  <c r="D243" i="1"/>
  <c r="G243" i="1" l="1"/>
  <c r="D244" i="1"/>
  <c r="F243" i="1"/>
  <c r="C244" i="1" s="1"/>
  <c r="E243" i="1"/>
  <c r="B244" i="1" s="1"/>
  <c r="E244" i="1" l="1"/>
  <c r="B245" i="1"/>
  <c r="F244" i="1"/>
  <c r="C245" i="1"/>
  <c r="G244" i="1"/>
  <c r="D245" i="1"/>
  <c r="G245" i="1" l="1"/>
  <c r="D246" i="1" s="1"/>
  <c r="F245" i="1"/>
  <c r="C246" i="1" s="1"/>
  <c r="E245" i="1"/>
  <c r="B246" i="1" s="1"/>
  <c r="E246" i="1" l="1"/>
  <c r="F246" i="1"/>
  <c r="B247" i="1"/>
  <c r="G246" i="1"/>
  <c r="C247" i="1"/>
  <c r="D247" i="1"/>
  <c r="G247" i="1" l="1"/>
  <c r="D248" i="1" s="1"/>
  <c r="E247" i="1"/>
  <c r="B248" i="1" s="1"/>
  <c r="F247" i="1"/>
  <c r="C248" i="1" s="1"/>
  <c r="G248" i="1" l="1"/>
  <c r="E248" i="1"/>
  <c r="B249" i="1" s="1"/>
  <c r="F248" i="1"/>
  <c r="C249" i="1" s="1"/>
  <c r="D249" i="1"/>
  <c r="G249" i="1" l="1"/>
  <c r="E249" i="1"/>
  <c r="F249" i="1"/>
  <c r="C250" i="1" s="1"/>
  <c r="B250" i="1"/>
  <c r="D250" i="1"/>
  <c r="G250" i="1" l="1"/>
  <c r="D251" i="1"/>
  <c r="E250" i="1"/>
  <c r="F250" i="1"/>
  <c r="C251" i="1" s="1"/>
  <c r="B251" i="1"/>
  <c r="G251" i="1" l="1"/>
  <c r="E251" i="1"/>
  <c r="B252" i="1" s="1"/>
  <c r="F251" i="1"/>
  <c r="C252" i="1" s="1"/>
  <c r="D252" i="1"/>
  <c r="G252" i="1" l="1"/>
  <c r="F252" i="1"/>
  <c r="C253" i="1" s="1"/>
  <c r="E252" i="1"/>
  <c r="B253" i="1" s="1"/>
  <c r="D253" i="1"/>
  <c r="E253" i="1" l="1"/>
  <c r="F253" i="1"/>
  <c r="B254" i="1"/>
  <c r="G253" i="1"/>
  <c r="C254" i="1"/>
  <c r="D254" i="1"/>
  <c r="G254" i="1" l="1"/>
  <c r="D255" i="1" s="1"/>
  <c r="E254" i="1"/>
  <c r="F254" i="1"/>
  <c r="C255" i="1" s="1"/>
  <c r="B255" i="1"/>
  <c r="G255" i="1" l="1"/>
  <c r="D256" i="1"/>
  <c r="E255" i="1"/>
  <c r="B256" i="1" s="1"/>
  <c r="F255" i="1"/>
  <c r="C256" i="1" s="1"/>
  <c r="E256" i="1" l="1"/>
  <c r="F256" i="1"/>
  <c r="B257" i="1"/>
  <c r="C257" i="1"/>
  <c r="G256" i="1"/>
  <c r="D257" i="1"/>
  <c r="G257" i="1" l="1"/>
  <c r="D258" i="1" s="1"/>
  <c r="E257" i="1"/>
  <c r="B258" i="1" s="1"/>
  <c r="F257" i="1"/>
  <c r="C258" i="1" s="1"/>
  <c r="G258" i="1" l="1"/>
  <c r="E258" i="1"/>
  <c r="F258" i="1"/>
  <c r="C259" i="1" s="1"/>
  <c r="B259" i="1"/>
  <c r="D259" i="1"/>
  <c r="G259" i="1" l="1"/>
  <c r="D260" i="1"/>
  <c r="F259" i="1"/>
  <c r="C260" i="1" s="1"/>
  <c r="E259" i="1"/>
  <c r="B260" i="1" s="1"/>
  <c r="E260" i="1" l="1"/>
  <c r="F260" i="1"/>
  <c r="B261" i="1"/>
  <c r="C261" i="1"/>
  <c r="G260" i="1"/>
  <c r="D261" i="1"/>
  <c r="G261" i="1" l="1"/>
  <c r="D262" i="1" s="1"/>
  <c r="F261" i="1"/>
  <c r="C262" i="1" s="1"/>
  <c r="E261" i="1"/>
  <c r="B262" i="1" s="1"/>
  <c r="E262" i="1" l="1"/>
  <c r="F262" i="1"/>
  <c r="C263" i="1" s="1"/>
  <c r="B263" i="1"/>
  <c r="G262" i="1"/>
  <c r="D263" i="1"/>
  <c r="G263" i="1" l="1"/>
  <c r="D264" i="1" s="1"/>
  <c r="E263" i="1"/>
  <c r="B264" i="1" s="1"/>
  <c r="F263" i="1"/>
  <c r="C264" i="1" s="1"/>
  <c r="G264" i="1" l="1"/>
  <c r="E264" i="1"/>
  <c r="B265" i="1" s="1"/>
  <c r="F264" i="1"/>
  <c r="C265" i="1" s="1"/>
  <c r="D265" i="1"/>
  <c r="G265" i="1" l="1"/>
  <c r="E265" i="1"/>
  <c r="F265" i="1"/>
  <c r="C266" i="1" s="1"/>
  <c r="B266" i="1"/>
  <c r="D266" i="1"/>
  <c r="G266" i="1" l="1"/>
  <c r="E266" i="1"/>
  <c r="B267" i="1"/>
  <c r="F266" i="1"/>
  <c r="C267" i="1" s="1"/>
  <c r="D267" i="1"/>
  <c r="G267" i="1" l="1"/>
  <c r="D268" i="1" s="1"/>
  <c r="E267" i="1"/>
  <c r="F267" i="1"/>
  <c r="C268" i="1" s="1"/>
  <c r="B268" i="1"/>
  <c r="G268" i="1" l="1"/>
  <c r="D269" i="1"/>
  <c r="E268" i="1"/>
  <c r="F268" i="1"/>
  <c r="C269" i="1" s="1"/>
  <c r="B269" i="1"/>
  <c r="G269" i="1" l="1"/>
  <c r="E269" i="1"/>
  <c r="B270" i="1" s="1"/>
  <c r="F269" i="1"/>
  <c r="C270" i="1" s="1"/>
  <c r="D270" i="1"/>
  <c r="G270" i="1" l="1"/>
  <c r="E270" i="1"/>
  <c r="F270" i="1"/>
  <c r="C271" i="1" s="1"/>
  <c r="B271" i="1"/>
  <c r="D271" i="1"/>
  <c r="G271" i="1" l="1"/>
  <c r="E271" i="1"/>
  <c r="F271" i="1"/>
  <c r="C272" i="1" s="1"/>
  <c r="B272" i="1"/>
  <c r="D272" i="1"/>
  <c r="G272" i="1" l="1"/>
  <c r="D273" i="1"/>
  <c r="E272" i="1"/>
  <c r="B273" i="1" s="1"/>
  <c r="F272" i="1"/>
  <c r="C273" i="1" s="1"/>
  <c r="G273" i="1" l="1"/>
  <c r="E273" i="1"/>
  <c r="F273" i="1"/>
  <c r="C274" i="1" s="1"/>
  <c r="B274" i="1"/>
  <c r="D274" i="1"/>
  <c r="G274" i="1" l="1"/>
  <c r="D275" i="1"/>
  <c r="E274" i="1"/>
  <c r="F274" i="1"/>
  <c r="C275" i="1" s="1"/>
  <c r="B275" i="1"/>
  <c r="G275" i="1" l="1"/>
  <c r="E275" i="1"/>
  <c r="B276" i="1" s="1"/>
  <c r="F275" i="1"/>
  <c r="C276" i="1" s="1"/>
  <c r="D276" i="1"/>
  <c r="E276" i="1" l="1"/>
  <c r="B277" i="1" s="1"/>
  <c r="F276" i="1"/>
  <c r="C277" i="1"/>
  <c r="G276" i="1"/>
  <c r="D277" i="1"/>
  <c r="F277" i="1" l="1"/>
  <c r="E277" i="1"/>
  <c r="B278" i="1" s="1"/>
  <c r="G277" i="1"/>
  <c r="D278" i="1" s="1"/>
  <c r="C278" i="1"/>
  <c r="E278" i="1" l="1"/>
  <c r="B279" i="1"/>
  <c r="F278" i="1"/>
  <c r="C279" i="1"/>
  <c r="G278" i="1"/>
  <c r="D279" i="1" s="1"/>
  <c r="G279" i="1" l="1"/>
  <c r="D280" i="1" s="1"/>
  <c r="E279" i="1"/>
  <c r="F279" i="1"/>
  <c r="C280" i="1" s="1"/>
  <c r="B280" i="1"/>
  <c r="G280" i="1" l="1"/>
  <c r="D281" i="1"/>
  <c r="F280" i="1"/>
  <c r="C281" i="1" s="1"/>
  <c r="E280" i="1"/>
  <c r="B281" i="1" s="1"/>
  <c r="E281" i="1" l="1"/>
  <c r="B282" i="1" s="1"/>
  <c r="F281" i="1"/>
  <c r="C282" i="1"/>
  <c r="G281" i="1"/>
  <c r="D282" i="1"/>
  <c r="E282" i="1" l="1"/>
  <c r="F282" i="1"/>
  <c r="B283" i="1"/>
  <c r="G282" i="1"/>
  <c r="C283" i="1"/>
  <c r="D283" i="1"/>
  <c r="G283" i="1" l="1"/>
  <c r="D284" i="1" s="1"/>
  <c r="F283" i="1"/>
  <c r="C284" i="1" s="1"/>
  <c r="E283" i="1"/>
  <c r="B284" i="1" s="1"/>
  <c r="E284" i="1" l="1"/>
  <c r="B285" i="1" s="1"/>
  <c r="F284" i="1"/>
  <c r="C285" i="1"/>
  <c r="G284" i="1"/>
  <c r="D285" i="1"/>
  <c r="E285" i="1" l="1"/>
  <c r="F285" i="1"/>
  <c r="B286" i="1"/>
  <c r="G285" i="1"/>
  <c r="D286" i="1" s="1"/>
  <c r="C286" i="1"/>
  <c r="G286" i="1" l="1"/>
  <c r="D287" i="1" s="1"/>
  <c r="E286" i="1"/>
  <c r="F286" i="1"/>
  <c r="C287" i="1" s="1"/>
  <c r="B287" i="1"/>
  <c r="G287" i="1" l="1"/>
  <c r="D288" i="1"/>
  <c r="F287" i="1"/>
  <c r="C288" i="1" s="1"/>
  <c r="E287" i="1"/>
  <c r="B288" i="1" s="1"/>
  <c r="E288" i="1" l="1"/>
  <c r="B289" i="1" s="1"/>
  <c r="F288" i="1"/>
  <c r="C289" i="1" s="1"/>
  <c r="G288" i="1"/>
  <c r="D289" i="1"/>
  <c r="G289" i="1" l="1"/>
  <c r="E289" i="1"/>
  <c r="B290" i="1"/>
  <c r="F289" i="1"/>
  <c r="C290" i="1" s="1"/>
  <c r="D290" i="1"/>
  <c r="G290" i="1" l="1"/>
  <c r="D291" i="1" s="1"/>
  <c r="E290" i="1"/>
  <c r="F290" i="1"/>
  <c r="C291" i="1" s="1"/>
  <c r="B291" i="1"/>
  <c r="G291" i="1" l="1"/>
  <c r="D292" i="1" s="1"/>
  <c r="F291" i="1"/>
  <c r="C292" i="1" s="1"/>
  <c r="E291" i="1"/>
  <c r="B292" i="1" s="1"/>
  <c r="E292" i="1" l="1"/>
  <c r="B293" i="1" s="1"/>
  <c r="F292" i="1"/>
  <c r="C293" i="1"/>
  <c r="G292" i="1"/>
  <c r="D293" i="1"/>
  <c r="E293" i="1" l="1"/>
  <c r="F293" i="1"/>
  <c r="B294" i="1"/>
  <c r="G293" i="1"/>
  <c r="D294" i="1" s="1"/>
  <c r="C294" i="1"/>
  <c r="G294" i="1" l="1"/>
  <c r="D295" i="1" s="1"/>
  <c r="E294" i="1"/>
  <c r="F294" i="1"/>
  <c r="C295" i="1" s="1"/>
  <c r="B295" i="1"/>
  <c r="G295" i="1" l="1"/>
  <c r="D296" i="1"/>
  <c r="F295" i="1"/>
  <c r="C296" i="1" s="1"/>
  <c r="E295" i="1"/>
  <c r="B296" i="1" s="1"/>
  <c r="B297" i="1" l="1"/>
  <c r="E296" i="1"/>
  <c r="F296" i="1"/>
  <c r="C297" i="1"/>
  <c r="G296" i="1"/>
  <c r="D297" i="1"/>
  <c r="G297" i="1" l="1"/>
  <c r="D298" i="1" s="1"/>
  <c r="E297" i="1"/>
  <c r="B298" i="1"/>
  <c r="F297" i="1"/>
  <c r="C298" i="1" s="1"/>
  <c r="G298" i="1" l="1"/>
  <c r="D299" i="1"/>
  <c r="E298" i="1"/>
  <c r="F298" i="1"/>
  <c r="C299" i="1" s="1"/>
  <c r="B299" i="1"/>
  <c r="G299" i="1" l="1"/>
  <c r="D300" i="1" s="1"/>
  <c r="F299" i="1"/>
  <c r="C300" i="1" s="1"/>
  <c r="E299" i="1"/>
  <c r="B300" i="1" s="1"/>
  <c r="E300" i="1" l="1"/>
  <c r="F300" i="1"/>
  <c r="B301" i="1"/>
  <c r="C301" i="1"/>
  <c r="G300" i="1"/>
  <c r="D301" i="1"/>
  <c r="G301" i="1" l="1"/>
  <c r="D302" i="1" s="1"/>
  <c r="E301" i="1"/>
  <c r="B302" i="1"/>
  <c r="F301" i="1"/>
  <c r="C302" i="1" s="1"/>
  <c r="G302" i="1" l="1"/>
  <c r="D303" i="1"/>
  <c r="E302" i="1"/>
  <c r="F302" i="1"/>
  <c r="C303" i="1" s="1"/>
  <c r="B303" i="1"/>
  <c r="G303" i="1" l="1"/>
  <c r="F303" i="1"/>
  <c r="C304" i="1" s="1"/>
  <c r="E303" i="1"/>
  <c r="B304" i="1" s="1"/>
  <c r="D304" i="1"/>
  <c r="E304" i="1" l="1"/>
  <c r="B305" i="1" s="1"/>
  <c r="F304" i="1"/>
  <c r="C305" i="1"/>
  <c r="G304" i="1"/>
  <c r="D305" i="1"/>
  <c r="E305" i="1" l="1"/>
  <c r="B306" i="1" s="1"/>
  <c r="F305" i="1"/>
  <c r="C306" i="1" s="1"/>
  <c r="G305" i="1"/>
  <c r="D306" i="1" s="1"/>
  <c r="G306" i="1" l="1"/>
  <c r="D307" i="1"/>
  <c r="E306" i="1"/>
  <c r="F306" i="1"/>
  <c r="C307" i="1" s="1"/>
  <c r="B307" i="1"/>
  <c r="G307" i="1" l="1"/>
  <c r="F307" i="1"/>
  <c r="C308" i="1" s="1"/>
  <c r="E307" i="1"/>
  <c r="B308" i="1" s="1"/>
  <c r="D308" i="1"/>
  <c r="E308" i="1" l="1"/>
  <c r="F308" i="1"/>
  <c r="B309" i="1"/>
  <c r="C309" i="1"/>
  <c r="G308" i="1"/>
  <c r="D309" i="1"/>
  <c r="G309" i="1" l="1"/>
  <c r="D310" i="1" s="1"/>
  <c r="F309" i="1"/>
  <c r="C310" i="1" s="1"/>
  <c r="E309" i="1"/>
  <c r="B310" i="1" s="1"/>
  <c r="G310" i="1" l="1"/>
  <c r="E310" i="1"/>
  <c r="F310" i="1"/>
  <c r="C311" i="1" s="1"/>
  <c r="B311" i="1"/>
  <c r="D311" i="1"/>
  <c r="G311" i="1" l="1"/>
  <c r="D312" i="1"/>
  <c r="E311" i="1"/>
  <c r="B312" i="1" s="1"/>
  <c r="F311" i="1"/>
  <c r="C312" i="1" s="1"/>
  <c r="G312" i="1" l="1"/>
  <c r="B313" i="1"/>
  <c r="E312" i="1"/>
  <c r="F312" i="1"/>
  <c r="C313" i="1" s="1"/>
  <c r="D313" i="1"/>
  <c r="G313" i="1" l="1"/>
  <c r="E313" i="1"/>
  <c r="F313" i="1"/>
  <c r="C314" i="1" s="1"/>
  <c r="B314" i="1"/>
  <c r="D314" i="1"/>
  <c r="G314" i="1" l="1"/>
  <c r="D315" i="1"/>
  <c r="E314" i="1"/>
  <c r="F314" i="1"/>
  <c r="C315" i="1" s="1"/>
  <c r="B315" i="1"/>
  <c r="G315" i="1" l="1"/>
  <c r="E315" i="1"/>
  <c r="B316" i="1" s="1"/>
  <c r="F315" i="1"/>
  <c r="C316" i="1" s="1"/>
  <c r="D316" i="1"/>
  <c r="G316" i="1" l="1"/>
  <c r="F316" i="1"/>
  <c r="C317" i="1" s="1"/>
  <c r="E316" i="1"/>
  <c r="B317" i="1" s="1"/>
  <c r="D317" i="1"/>
  <c r="G317" i="1" l="1"/>
  <c r="E317" i="1"/>
  <c r="F317" i="1"/>
  <c r="C318" i="1" s="1"/>
  <c r="B318" i="1"/>
  <c r="D318" i="1"/>
  <c r="G318" i="1" l="1"/>
  <c r="D319" i="1"/>
  <c r="E318" i="1"/>
  <c r="B319" i="1" s="1"/>
  <c r="F318" i="1"/>
  <c r="C319" i="1" s="1"/>
  <c r="G319" i="1" l="1"/>
  <c r="E319" i="1"/>
  <c r="B320" i="1" s="1"/>
  <c r="F319" i="1"/>
  <c r="C320" i="1" s="1"/>
  <c r="D320" i="1"/>
  <c r="G320" i="1" l="1"/>
  <c r="E320" i="1"/>
  <c r="B321" i="1" s="1"/>
  <c r="F320" i="1"/>
  <c r="C321" i="1" s="1"/>
  <c r="D321" i="1"/>
  <c r="G321" i="1" l="1"/>
  <c r="F321" i="1"/>
  <c r="C322" i="1" s="1"/>
  <c r="E321" i="1"/>
  <c r="B322" i="1" s="1"/>
  <c r="D322" i="1"/>
  <c r="F322" i="1" l="1"/>
  <c r="C323" i="1" s="1"/>
  <c r="E322" i="1"/>
  <c r="B323" i="1"/>
  <c r="G322" i="1"/>
  <c r="D323" i="1"/>
  <c r="G323" i="1" l="1"/>
  <c r="D324" i="1"/>
  <c r="E323" i="1"/>
  <c r="B324" i="1" s="1"/>
  <c r="F323" i="1"/>
  <c r="C324" i="1" s="1"/>
  <c r="G324" i="1" l="1"/>
  <c r="F324" i="1"/>
  <c r="C325" i="1" s="1"/>
  <c r="E324" i="1"/>
  <c r="B325" i="1" s="1"/>
  <c r="D325" i="1"/>
  <c r="E325" i="1" l="1"/>
  <c r="F325" i="1"/>
  <c r="B326" i="1"/>
  <c r="G325" i="1"/>
  <c r="C326" i="1"/>
  <c r="D326" i="1"/>
  <c r="G326" i="1" l="1"/>
  <c r="D327" i="1" s="1"/>
  <c r="F326" i="1"/>
  <c r="C327" i="1" s="1"/>
  <c r="E326" i="1"/>
  <c r="B327" i="1"/>
  <c r="G327" i="1" l="1"/>
  <c r="D328" i="1"/>
  <c r="F327" i="1"/>
  <c r="C328" i="1" s="1"/>
  <c r="E327" i="1"/>
  <c r="B328" i="1" s="1"/>
  <c r="E328" i="1" l="1"/>
  <c r="F328" i="1"/>
  <c r="B329" i="1"/>
  <c r="G328" i="1"/>
  <c r="C329" i="1"/>
  <c r="D329" i="1"/>
  <c r="G329" i="1" l="1"/>
  <c r="D330" i="1" s="1"/>
  <c r="E329" i="1"/>
  <c r="F329" i="1"/>
  <c r="C330" i="1" s="1"/>
  <c r="B330" i="1"/>
  <c r="G330" i="1" l="1"/>
  <c r="D331" i="1"/>
  <c r="F330" i="1"/>
  <c r="C331" i="1" s="1"/>
  <c r="E330" i="1"/>
  <c r="B331" i="1" s="1"/>
  <c r="E331" i="1" l="1"/>
  <c r="B332" i="1" s="1"/>
  <c r="F331" i="1"/>
  <c r="C332" i="1" s="1"/>
  <c r="G331" i="1"/>
  <c r="D332" i="1"/>
  <c r="G332" i="1" l="1"/>
  <c r="E332" i="1"/>
  <c r="F332" i="1"/>
  <c r="C333" i="1" s="1"/>
  <c r="B333" i="1"/>
  <c r="D333" i="1"/>
  <c r="G333" i="1" l="1"/>
  <c r="D334" i="1"/>
  <c r="E333" i="1"/>
  <c r="B334" i="1" s="1"/>
  <c r="F333" i="1"/>
  <c r="C334" i="1" s="1"/>
  <c r="G334" i="1" l="1"/>
  <c r="F334" i="1"/>
  <c r="C335" i="1" s="1"/>
  <c r="E334" i="1"/>
  <c r="B335" i="1" s="1"/>
  <c r="D335" i="1"/>
  <c r="E335" i="1" l="1"/>
  <c r="F335" i="1"/>
  <c r="B336" i="1"/>
  <c r="G335" i="1"/>
  <c r="C336" i="1"/>
  <c r="D336" i="1"/>
  <c r="G336" i="1" l="1"/>
  <c r="D337" i="1" s="1"/>
  <c r="F336" i="1"/>
  <c r="C337" i="1" s="1"/>
  <c r="E336" i="1"/>
  <c r="B337" i="1" s="1"/>
  <c r="E337" i="1" l="1"/>
  <c r="B338" i="1" s="1"/>
  <c r="F337" i="1"/>
  <c r="C338" i="1"/>
  <c r="G337" i="1"/>
  <c r="D338" i="1"/>
  <c r="E338" i="1" l="1"/>
  <c r="F338" i="1"/>
  <c r="B339" i="1"/>
  <c r="G338" i="1"/>
  <c r="C339" i="1"/>
  <c r="D339" i="1"/>
  <c r="G339" i="1" l="1"/>
  <c r="D340" i="1" s="1"/>
  <c r="E339" i="1"/>
  <c r="F339" i="1"/>
  <c r="C340" i="1" s="1"/>
  <c r="B340" i="1"/>
  <c r="G340" i="1" l="1"/>
  <c r="D341" i="1"/>
  <c r="F340" i="1"/>
  <c r="C341" i="1" s="1"/>
  <c r="E340" i="1"/>
  <c r="B341" i="1" s="1"/>
  <c r="E341" i="1" l="1"/>
  <c r="F341" i="1"/>
  <c r="B342" i="1"/>
  <c r="C342" i="1"/>
  <c r="G341" i="1"/>
  <c r="D342" i="1"/>
  <c r="G342" i="1" l="1"/>
  <c r="D343" i="1" s="1"/>
  <c r="E342" i="1"/>
  <c r="F342" i="1"/>
  <c r="C343" i="1" s="1"/>
  <c r="B343" i="1"/>
  <c r="G343" i="1" l="1"/>
  <c r="D344" i="1"/>
  <c r="E343" i="1"/>
  <c r="F343" i="1"/>
  <c r="C344" i="1" s="1"/>
  <c r="B344" i="1"/>
  <c r="G344" i="1" l="1"/>
  <c r="F344" i="1"/>
  <c r="C345" i="1" s="1"/>
  <c r="E344" i="1"/>
  <c r="B345" i="1" s="1"/>
  <c r="D345" i="1"/>
  <c r="E345" i="1" l="1"/>
  <c r="F345" i="1"/>
  <c r="B346" i="1"/>
  <c r="C346" i="1"/>
  <c r="G345" i="1"/>
  <c r="D346" i="1"/>
  <c r="D347" i="1" l="1"/>
  <c r="G346" i="1"/>
  <c r="E346" i="1"/>
  <c r="F346" i="1"/>
  <c r="C347" i="1" s="1"/>
  <c r="B347" i="1"/>
  <c r="G347" i="1" l="1"/>
  <c r="E347" i="1"/>
  <c r="F347" i="1"/>
  <c r="C348" i="1" s="1"/>
  <c r="B348" i="1"/>
  <c r="D348" i="1"/>
  <c r="G348" i="1" l="1"/>
  <c r="D349" i="1"/>
  <c r="F348" i="1"/>
  <c r="C349" i="1" s="1"/>
  <c r="E348" i="1"/>
  <c r="B349" i="1" s="1"/>
  <c r="E349" i="1" l="1"/>
  <c r="F349" i="1"/>
  <c r="B350" i="1"/>
  <c r="C350" i="1"/>
  <c r="G349" i="1"/>
  <c r="D350" i="1"/>
  <c r="G350" i="1" l="1"/>
  <c r="D351" i="1" s="1"/>
  <c r="E350" i="1"/>
  <c r="F350" i="1"/>
  <c r="C351" i="1" s="1"/>
  <c r="B351" i="1"/>
  <c r="G351" i="1" l="1"/>
  <c r="D352" i="1"/>
  <c r="E351" i="1"/>
  <c r="B352" i="1"/>
  <c r="F351" i="1"/>
  <c r="C352" i="1" s="1"/>
  <c r="G352" i="1" l="1"/>
  <c r="F352" i="1"/>
  <c r="C353" i="1" s="1"/>
  <c r="E352" i="1"/>
  <c r="B353" i="1" s="1"/>
  <c r="D353" i="1"/>
  <c r="E353" i="1" l="1"/>
  <c r="F353" i="1"/>
  <c r="C354" i="1" s="1"/>
  <c r="B354" i="1"/>
  <c r="G353" i="1"/>
  <c r="D354" i="1"/>
  <c r="G354" i="1" l="1"/>
  <c r="D355" i="1"/>
  <c r="F354" i="1"/>
  <c r="C355" i="1" s="1"/>
  <c r="E354" i="1"/>
  <c r="B355" i="1"/>
  <c r="G355" i="1" l="1"/>
  <c r="E355" i="1"/>
  <c r="F355" i="1"/>
  <c r="C356" i="1" s="1"/>
  <c r="B356" i="1"/>
  <c r="D356" i="1"/>
  <c r="G356" i="1" l="1"/>
  <c r="F356" i="1"/>
  <c r="C357" i="1" s="1"/>
  <c r="E356" i="1"/>
  <c r="B357" i="1" s="1"/>
  <c r="D357" i="1"/>
  <c r="E357" i="1" l="1"/>
  <c r="F357" i="1"/>
  <c r="B358" i="1"/>
  <c r="C358" i="1"/>
  <c r="G357" i="1"/>
  <c r="D358" i="1"/>
  <c r="E358" i="1" l="1"/>
  <c r="F358" i="1"/>
  <c r="B359" i="1"/>
  <c r="G358" i="1"/>
  <c r="D359" i="1" s="1"/>
  <c r="C359" i="1"/>
  <c r="G359" i="1" l="1"/>
  <c r="D360" i="1" s="1"/>
  <c r="E359" i="1"/>
  <c r="F359" i="1"/>
  <c r="C360" i="1" s="1"/>
  <c r="B360" i="1"/>
  <c r="G360" i="1" l="1"/>
  <c r="D361" i="1"/>
  <c r="F360" i="1"/>
  <c r="C361" i="1" s="1"/>
  <c r="E360" i="1"/>
  <c r="B361" i="1" s="1"/>
  <c r="E361" i="1" l="1"/>
  <c r="F361" i="1"/>
  <c r="B362" i="1"/>
  <c r="C362" i="1"/>
  <c r="G361" i="1"/>
  <c r="D362" i="1"/>
  <c r="G362" i="1" l="1"/>
  <c r="E362" i="1"/>
  <c r="B363" i="1"/>
  <c r="F362" i="1"/>
  <c r="C363" i="1" s="1"/>
  <c r="D363" i="1"/>
  <c r="G363" i="1" l="1"/>
  <c r="D364" i="1"/>
  <c r="E363" i="1"/>
  <c r="F363" i="1"/>
  <c r="C364" i="1" s="1"/>
  <c r="B364" i="1"/>
  <c r="G364" i="1" l="1"/>
  <c r="F364" i="1"/>
  <c r="C365" i="1" s="1"/>
  <c r="E364" i="1"/>
  <c r="B365" i="1" s="1"/>
  <c r="D365" i="1"/>
  <c r="E365" i="1" l="1"/>
  <c r="F365" i="1"/>
  <c r="B366" i="1"/>
  <c r="C366" i="1"/>
  <c r="G365" i="1"/>
  <c r="D366" i="1"/>
  <c r="G366" i="1" l="1"/>
  <c r="D367" i="1" s="1"/>
  <c r="E366" i="1"/>
  <c r="B367" i="1"/>
  <c r="F366" i="1"/>
  <c r="C367" i="1" s="1"/>
  <c r="G367" i="1" l="1"/>
  <c r="D368" i="1" s="1"/>
  <c r="E367" i="1"/>
  <c r="F367" i="1"/>
  <c r="C368" i="1" s="1"/>
  <c r="B368" i="1"/>
  <c r="G368" i="1" l="1"/>
  <c r="D369" i="1"/>
  <c r="F368" i="1"/>
  <c r="C369" i="1" s="1"/>
  <c r="E368" i="1"/>
  <c r="B369" i="1" s="1"/>
  <c r="B370" i="1" l="1"/>
  <c r="E369" i="1"/>
  <c r="F369" i="1"/>
  <c r="C370" i="1" s="1"/>
  <c r="G369" i="1"/>
  <c r="D370" i="1" s="1"/>
  <c r="G370" i="1" l="1"/>
  <c r="D371" i="1" s="1"/>
  <c r="E370" i="1"/>
  <c r="F370" i="1"/>
  <c r="C371" i="1" s="1"/>
  <c r="B371" i="1"/>
  <c r="G371" i="1" l="1"/>
  <c r="D372" i="1"/>
  <c r="E371" i="1"/>
  <c r="F371" i="1"/>
  <c r="C372" i="1" s="1"/>
  <c r="B372" i="1"/>
  <c r="G372" i="1" l="1"/>
  <c r="F372" i="1"/>
  <c r="C373" i="1" s="1"/>
  <c r="E372" i="1"/>
  <c r="B373" i="1" s="1"/>
  <c r="D373" i="1"/>
  <c r="F373" i="1" l="1"/>
  <c r="E373" i="1"/>
  <c r="B374" i="1" s="1"/>
  <c r="C374" i="1"/>
  <c r="G373" i="1"/>
  <c r="D374" i="1"/>
  <c r="E374" i="1" l="1"/>
  <c r="F374" i="1"/>
  <c r="B375" i="1"/>
  <c r="G374" i="1"/>
  <c r="D375" i="1" s="1"/>
  <c r="C375" i="1"/>
  <c r="G375" i="1" l="1"/>
  <c r="D376" i="1" s="1"/>
  <c r="E375" i="1"/>
  <c r="F375" i="1"/>
  <c r="C376" i="1" s="1"/>
  <c r="B376" i="1"/>
  <c r="G376" i="1" l="1"/>
  <c r="D377" i="1"/>
  <c r="F376" i="1"/>
  <c r="C377" i="1" s="1"/>
  <c r="E376" i="1"/>
  <c r="B377" i="1" s="1"/>
  <c r="E377" i="1" l="1"/>
  <c r="B378" i="1" s="1"/>
  <c r="F377" i="1"/>
  <c r="C378" i="1"/>
  <c r="G377" i="1"/>
  <c r="D378" i="1"/>
  <c r="E378" i="1" l="1"/>
  <c r="B379" i="1"/>
  <c r="F378" i="1"/>
  <c r="G378" i="1"/>
  <c r="D379" i="1" s="1"/>
  <c r="C379" i="1"/>
  <c r="G379" i="1" l="1"/>
  <c r="D380" i="1" s="1"/>
  <c r="E379" i="1"/>
  <c r="F379" i="1"/>
  <c r="C380" i="1" s="1"/>
  <c r="B380" i="1"/>
  <c r="G380" i="1" l="1"/>
  <c r="D381" i="1"/>
  <c r="F380" i="1"/>
  <c r="C381" i="1" s="1"/>
  <c r="E380" i="1"/>
  <c r="B381" i="1" s="1"/>
  <c r="F381" i="1" l="1"/>
  <c r="E381" i="1"/>
  <c r="B382" i="1" s="1"/>
  <c r="C382" i="1"/>
  <c r="G381" i="1"/>
  <c r="D382" i="1"/>
  <c r="E382" i="1" l="1"/>
  <c r="F382" i="1"/>
  <c r="B383" i="1"/>
  <c r="G382" i="1"/>
  <c r="D383" i="1" s="1"/>
  <c r="C383" i="1"/>
  <c r="G383" i="1" l="1"/>
  <c r="D384" i="1" s="1"/>
  <c r="E383" i="1"/>
  <c r="F383" i="1"/>
  <c r="C384" i="1" s="1"/>
  <c r="B384" i="1"/>
  <c r="G384" i="1" l="1"/>
  <c r="D385" i="1"/>
  <c r="F384" i="1"/>
  <c r="C385" i="1" s="1"/>
  <c r="E384" i="1"/>
  <c r="B385" i="1" s="1"/>
  <c r="B386" i="1" l="1"/>
  <c r="E385" i="1"/>
  <c r="F385" i="1"/>
  <c r="C386" i="1"/>
  <c r="G386" i="1" s="1"/>
  <c r="G385" i="1"/>
  <c r="D386" i="1"/>
  <c r="E386" i="1" l="1"/>
  <c r="F386" i="1"/>
</calcChain>
</file>

<file path=xl/sharedStrings.xml><?xml version="1.0" encoding="utf-8"?>
<sst xmlns="http://schemas.openxmlformats.org/spreadsheetml/2006/main" count="14" uniqueCount="14">
  <si>
    <t>SIR model</t>
  </si>
  <si>
    <t>Eq1:</t>
  </si>
  <si>
    <t>S' = -aSI</t>
  </si>
  <si>
    <t>Eq2:</t>
  </si>
  <si>
    <t>I' = aSI - bI</t>
  </si>
  <si>
    <t>Eq3:</t>
  </si>
  <si>
    <t>R' = bI</t>
  </si>
  <si>
    <t>t</t>
  </si>
  <si>
    <t>S</t>
  </si>
  <si>
    <t>I</t>
  </si>
  <si>
    <t>R</t>
  </si>
  <si>
    <t>S'</t>
  </si>
  <si>
    <t>I'</t>
  </si>
  <si>
    <t>R'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</si>
</sst>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SIR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Sheet1!$B$7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Sheet1!$A$8:$A$108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Sheet1!$B$8:$B$108</c:f>
              <c:numCache>
                <c:formatCode>General</c:formatCode>
                <c:ptCount val="101"/>
                <c:pt idx="0">
                  <c:v>45400</c:v>
                </c:pt>
                <c:pt idx="1">
                  <c:v>44446.6</c:v>
                </c:pt>
                <c:pt idx="2">
                  <c:v>43206.139840600001</c:v>
                </c:pt>
                <c:pt idx="3">
                  <c:v>41615.074752252818</c:v>
                </c:pt>
                <c:pt idx="4">
                  <c:v>39612.036941884529</c:v>
                </c:pt>
                <c:pt idx="5">
                  <c:v>37150.294605110881</c:v>
                </c:pt>
                <c:pt idx="6">
                  <c:v>34215.5902292592</c:v>
                </c:pt>
                <c:pt idx="7">
                  <c:v>30846.447242289123</c:v>
                </c:pt>
                <c:pt idx="8">
                  <c:v>27149.470083593558</c:v>
                </c:pt>
                <c:pt idx="9">
                  <c:v>23298.60592943168</c:v>
                </c:pt>
                <c:pt idx="10">
                  <c:v>19509.830810101659</c:v>
                </c:pt>
                <c:pt idx="11">
                  <c:v>15994.576962828382</c:v>
                </c:pt>
                <c:pt idx="12">
                  <c:v>12910.681667333147</c:v>
                </c:pt>
                <c:pt idx="13">
                  <c:v>10334.398279241363</c:v>
                </c:pt>
                <c:pt idx="14">
                  <c:v>8263.7345777183746</c:v>
                </c:pt>
                <c:pt idx="15">
                  <c:v>6643.819254725503</c:v>
                </c:pt>
                <c:pt idx="16">
                  <c:v>5396.6228879404835</c:v>
                </c:pt>
                <c:pt idx="17">
                  <c:v>4442.8808795064024</c:v>
                </c:pt>
                <c:pt idx="18">
                  <c:v>3713.4679849864701</c:v>
                </c:pt>
                <c:pt idx="19">
                  <c:v>3152.9280500272216</c:v>
                </c:pt>
                <c:pt idx="20">
                  <c:v>2718.8179371684878</c:v>
                </c:pt>
                <c:pt idx="21">
                  <c:v>2379.4679746718043</c:v>
                </c:pt>
                <c:pt idx="22">
                  <c:v>2111.5235803120549</c:v>
                </c:pt>
                <c:pt idx="23">
                  <c:v>1897.8153537283083</c:v>
                </c:pt>
                <c:pt idx="24">
                  <c:v>1725.6906832612183</c:v>
                </c:pt>
                <c:pt idx="25">
                  <c:v>1585.7709313937105</c:v>
                </c:pt>
                <c:pt idx="26">
                  <c:v>1471.0490018525315</c:v>
                </c:pt>
                <c:pt idx="27">
                  <c:v>1376.2417686316976</c:v>
                </c:pt>
                <c:pt idx="28">
                  <c:v>1297.3270924953567</c:v>
                </c:pt>
                <c:pt idx="29">
                  <c:v>1231.212364815653</c:v>
                </c:pt>
                <c:pt idx="30">
                  <c:v>1175.4961521588871</c:v>
                </c:pt>
                <c:pt idx="31">
                  <c:v>1128.2956905143506</c:v>
                </c:pt>
                <c:pt idx="32">
                  <c:v>1088.1210877855483</c:v>
                </c:pt>
                <c:pt idx="33">
                  <c:v>1053.7828276416426</c:v>
                </c:pt>
                <c:pt idx="34">
                  <c:v>1024.3231719224927</c:v>
                </c:pt>
                <c:pt idx="35">
                  <c:v>998.96484097599966</c:v>
                </c:pt>
                <c:pt idx="36">
                  <c:v>977.07228411315293</c:v>
                </c:pt>
                <c:pt idx="37">
                  <c:v>958.12219886116702</c:v>
                </c:pt>
                <c:pt idx="38">
                  <c:v>941.6809001506881</c:v>
                </c:pt>
                <c:pt idx="39">
                  <c:v>927.38680413496616</c:v>
                </c:pt>
                <c:pt idx="40">
                  <c:v>914.93676165588022</c:v>
                </c:pt>
                <c:pt idx="41">
                  <c:v>904.07531209129468</c:v>
                </c:pt>
                <c:pt idx="42">
                  <c:v>894.58616971634262</c:v>
                </c:pt>
                <c:pt idx="43">
                  <c:v>886.28542957170771</c:v>
                </c:pt>
                <c:pt idx="44">
                  <c:v>879.01610742727087</c:v>
                </c:pt>
                <c:pt idx="45">
                  <c:v>872.64372221099575</c:v>
                </c:pt>
                <c:pt idx="46">
                  <c:v>867.05269869124413</c:v>
                </c:pt>
                <c:pt idx="47">
                  <c:v>862.14341994092194</c:v>
                </c:pt>
                <c:pt idx="48">
                  <c:v>857.82979793557229</c:v>
                </c:pt>
                <c:pt idx="49">
                  <c:v>854.03725995975901</c:v>
                </c:pt>
                <c:pt idx="50">
                  <c:v>850.70107078283013</c:v>
                </c:pt>
                <c:pt idx="51">
                  <c:v>847.76492760907797</c:v>
                </c:pt>
                <c:pt idx="52">
                  <c:v>845.17977792013903</c:v>
                </c:pt>
                <c:pt idx="53">
                  <c:v>842.90282047509163</c:v>
                </c:pt>
                <c:pt idx="54">
                  <c:v>840.89665763174162</c:v>
                </c:pt>
                <c:pt idx="55">
                  <c:v>839.12857333436523</c:v>
                </c:pt>
                <c:pt idx="56">
                  <c:v>837.56991597847855</c:v>
                </c:pt>
                <c:pt idx="57">
                  <c:v>836.19556921329865</c:v>
                </c:pt>
                <c:pt idx="58">
                  <c:v>834.98349680574597</c:v>
                </c:pt>
                <c:pt idx="59">
                  <c:v>833.91435013993976</c:v>
                </c:pt>
                <c:pt idx="60">
                  <c:v>832.97112889622133</c:v>
                </c:pt>
                <c:pt idx="61">
                  <c:v>832.13888704610201</c:v>
                </c:pt>
                <c:pt idx="62">
                  <c:v>831.40447759323717</c:v>
                </c:pt>
                <c:pt idx="63">
                  <c:v>830.75633054691116</c:v>
                </c:pt>
                <c:pt idx="64">
                  <c:v>830.18425948142965</c:v>
                </c:pt>
                <c:pt idx="65">
                  <c:v>829.67929274969822</c:v>
                </c:pt>
                <c:pt idx="66">
                  <c:v>829.23352601159615</c:v>
                </c:pt>
                <c:pt idx="67">
                  <c:v>828.83999323079956</c:v>
                </c:pt>
                <c:pt idx="68">
                  <c:v>828.49255370594699</c:v>
                </c:pt>
                <c:pt idx="69">
                  <c:v>828.18579304818525</c:v>
                </c:pt>
                <c:pt idx="70">
                  <c:v>827.91493630898208</c:v>
                </c:pt>
                <c:pt idx="71">
                  <c:v>827.67577170910624</c:v>
                </c:pt>
                <c:pt idx="72">
                  <c:v>827.46458362952683</c:v>
                </c:pt>
                <c:pt idx="73">
                  <c:v>827.27809370386512</c:v>
                </c:pt>
                <c:pt idx="74">
                  <c:v>827.1134090050241</c:v>
                </c:pt>
                <c:pt idx="75">
                  <c:v>826.96797644985134</c:v>
                </c:pt>
                <c:pt idx="76">
                  <c:v>826.83954265858233</c:v>
                </c:pt>
                <c:pt idx="77">
                  <c:v>826.72611860316613</c:v>
                </c:pt>
                <c:pt idx="78">
                  <c:v>826.62594846274385</c:v>
                </c:pt>
                <c:pt idx="79">
                  <c:v>826.53748217746295</c:v>
                </c:pt>
                <c:pt idx="80">
                  <c:v>826.45935125511198</c:v>
                </c:pt>
                <c:pt idx="81">
                  <c:v>826.39034744010473</c:v>
                </c:pt>
                <c:pt idx="82">
                  <c:v>826.32940390229317</c:v>
                </c:pt>
                <c:pt idx="83">
                  <c:v>826.27557864492053</c:v>
                </c:pt>
                <c:pt idx="84">
                  <c:v>826.22803986756298</c:v>
                </c:pt>
                <c:pt idx="85">
                  <c:v>826.18605305186759</c:v>
                </c:pt>
                <c:pt idx="86">
                  <c:v>826.14896956587438</c:v>
                </c:pt>
                <c:pt idx="87">
                  <c:v>826.11621660722858</c:v>
                </c:pt>
                <c:pt idx="88">
                  <c:v>826.08728832710017</c:v>
                </c:pt>
                <c:pt idx="89">
                  <c:v>826.06173799550697</c:v>
                </c:pt>
                <c:pt idx="90">
                  <c:v>826.03917108532266</c:v>
                </c:pt>
                <c:pt idx="91">
                  <c:v>826.01923916682938</c:v>
                </c:pt>
                <c:pt idx="92">
                  <c:v>826.00163451749518</c:v>
                </c:pt>
                <c:pt idx="93">
                  <c:v>825.98608536293784</c:v>
                </c:pt>
                <c:pt idx="94">
                  <c:v>825.97235167496547</c:v>
                </c:pt>
                <c:pt idx="95">
                  <c:v>825.96022146133066</c:v>
                </c:pt>
                <c:pt idx="96">
                  <c:v>825.94950748953693</c:v>
                </c:pt>
                <c:pt idx="97">
                  <c:v>825.94004439382468</c:v>
                </c:pt>
                <c:pt idx="98">
                  <c:v>825.93168612044781</c:v>
                </c:pt>
                <c:pt idx="99">
                  <c:v>825.92430367162524</c:v>
                </c:pt>
                <c:pt idx="100">
                  <c:v>825.91778311320491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4D-E34B-8F34-F906A7CF2FCF}"/>
            </c:ext>
          </c:extLst>
        </c:ser>
        <c:ser>
          <c:idx val="2"/>
          <c:order val="1"/>
          <c:tx>
            <c:strRef>
              <c:f>Sheet1!$C$7</c:f>
              <c:strCache>
                <c:ptCount val="1"/>
                <c:pt idx="0">
                  <c:v>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Sheet1!$A$8:$A$108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Sheet1!$C$8:$C$108</c:f>
              <c:numCache>
                <c:formatCode>General</c:formatCode>
                <c:ptCount val="101"/>
                <c:pt idx="0">
                  <c:v>2100</c:v>
                </c:pt>
                <c:pt idx="1">
                  <c:v>2790.9</c:v>
                </c:pt>
                <c:pt idx="2">
                  <c:v>3682.4976594</c:v>
                </c:pt>
                <c:pt idx="3">
                  <c:v>4813.2505403221858</c:v>
                </c:pt>
                <c:pt idx="4">
                  <c:v>6214.6320331502029</c:v>
                </c:pt>
                <c:pt idx="5">
                  <c:v>7899.5453657800754</c:v>
                </c:pt>
                <c:pt idx="6">
                  <c:v>9846.806570909248</c:v>
                </c:pt>
                <c:pt idx="7">
                  <c:v>11985.098736515669</c:v>
                </c:pt>
                <c:pt idx="8">
                  <c:v>14183.938553146778</c:v>
                </c:pt>
                <c:pt idx="9">
                  <c:v>16261.810388165308</c:v>
                </c:pt>
                <c:pt idx="10">
                  <c:v>18017.859208974663</c:v>
                </c:pt>
                <c:pt idx="11">
                  <c:v>19280.880655126108</c:v>
                </c:pt>
                <c:pt idx="12">
                  <c:v>19954.665868730579</c:v>
                </c:pt>
                <c:pt idx="13">
                  <c:v>20036.616023231039</c:v>
                </c:pt>
                <c:pt idx="14">
                  <c:v>19602.702721850146</c:v>
                </c:pt>
                <c:pt idx="15">
                  <c:v>18772.28020461175</c:v>
                </c:pt>
                <c:pt idx="16">
                  <c:v>17672.9415458203</c:v>
                </c:pt>
                <c:pt idx="17">
                  <c:v>16417.565861026844</c:v>
                </c:pt>
                <c:pt idx="18">
                  <c:v>15094.78302291842</c:v>
                </c:pt>
                <c:pt idx="19">
                  <c:v>13768.475080012866</c:v>
                </c:pt>
                <c:pt idx="20">
                  <c:v>12481.525807869992</c:v>
                </c:pt>
                <c:pt idx="21">
                  <c:v>11260.685044382926</c:v>
                </c:pt>
                <c:pt idx="22">
                  <c:v>10121.043808194809</c:v>
                </c:pt>
                <c:pt idx="23">
                  <c:v>9069.6215587542047</c:v>
                </c:pt>
                <c:pt idx="24">
                  <c:v>8108.0435343770187</c:v>
                </c:pt>
                <c:pt idx="25">
                  <c:v>7234.4578444473991</c:v>
                </c:pt>
                <c:pt idx="26">
                  <c:v>6444.8725434326534</c:v>
                </c:pt>
                <c:pt idx="27">
                  <c:v>5734.0707087244054</c:v>
                </c:pt>
                <c:pt idx="28">
                  <c:v>5096.2265462701953</c:v>
                </c:pt>
                <c:pt idx="29">
                  <c:v>4525.3129556661243</c:v>
                </c:pt>
                <c:pt idx="30">
                  <c:v>4015.3650488646249</c:v>
                </c:pt>
                <c:pt idx="31">
                  <c:v>3560.644879401083</c:v>
                </c:pt>
                <c:pt idx="32">
                  <c:v>3155.7388722047499</c:v>
                </c:pt>
                <c:pt idx="33">
                  <c:v>2795.6097733230617</c:v>
                </c:pt>
                <c:pt idx="34">
                  <c:v>2475.6182073768287</c:v>
                </c:pt>
                <c:pt idx="35">
                  <c:v>2191.524262401218</c:v>
                </c:pt>
                <c:pt idx="36">
                  <c:v>1939.4762864639126</c:v>
                </c:pt>
                <c:pt idx="37">
                  <c:v>1715.9918359079095</c:v>
                </c:pt>
                <c:pt idx="38">
                  <c:v>1517.9341551298999</c:v>
                </c:pt>
                <c:pt idx="39">
                  <c:v>1342.4864817543844</c:v>
                </c:pt>
                <c:pt idx="40">
                  <c:v>1187.1257140141722</c:v>
                </c:pt>
                <c:pt idx="41">
                  <c:v>1049.5964493269862</c:v>
                </c:pt>
                <c:pt idx="42">
                  <c:v>927.88603553606504</c:v>
                </c:pt>
                <c:pt idx="43">
                  <c:v>820.20102123869185</c:v>
                </c:pt>
                <c:pt idx="44">
                  <c:v>724.94521572829228</c:v>
                </c:pt>
                <c:pt idx="45">
                  <c:v>640.69944897853077</c:v>
                </c:pt>
                <c:pt idx="46">
                  <c:v>566.203041375966</c:v>
                </c:pt>
                <c:pt idx="47">
                  <c:v>500.33693995429246</c:v>
                </c:pt>
                <c:pt idx="48">
                  <c:v>442.1084444653556</c:v>
                </c:pt>
                <c:pt idx="49">
                  <c:v>390.63742688299942</c:v>
                </c:pt>
                <c:pt idx="50">
                  <c:v>345.14393769955336</c:v>
                </c:pt>
                <c:pt idx="51">
                  <c:v>304.93708866086132</c:v>
                </c:pt>
                <c:pt idx="52">
                  <c:v>269.40510226719266</c:v>
                </c:pt>
                <c:pt idx="53">
                  <c:v>238.00642192884095</c:v>
                </c:pt>
                <c:pt idx="54">
                  <c:v>210.26178203108589</c:v>
                </c:pt>
                <c:pt idx="55">
                  <c:v>185.74714357457648</c:v>
                </c:pt>
                <c:pt idx="56">
                  <c:v>164.0874079836411</c:v>
                </c:pt>
                <c:pt idx="57">
                  <c:v>144.95082875086581</c:v>
                </c:pt>
                <c:pt idx="58">
                  <c:v>128.04404756456029</c:v>
                </c:pt>
                <c:pt idx="59">
                  <c:v>113.10768828479642</c:v>
                </c:pt>
                <c:pt idx="60">
                  <c:v>99.912448492915345</c:v>
                </c:pt>
                <c:pt idx="61">
                  <c:v>88.255634281420214</c:v>
                </c:pt>
                <c:pt idx="62">
                  <c:v>77.958089449107575</c:v>
                </c:pt>
                <c:pt idx="63">
                  <c:v>68.861475314295149</c:v>
                </c:pt>
                <c:pt idx="64">
                  <c:v>60.825861965489764</c:v>
                </c:pt>
                <c:pt idx="65">
                  <c:v>53.727595951534944</c:v>
                </c:pt>
                <c:pt idx="66">
                  <c:v>47.457413195695189</c:v>
                </c:pt>
                <c:pt idx="67">
                  <c:v>41.91876932702985</c:v>
                </c:pt>
                <c:pt idx="68">
                  <c:v>37.026362686003708</c:v>
                </c:pt>
                <c:pt idx="69">
                  <c:v>32.704828008014942</c:v>
                </c:pt>
                <c:pt idx="70">
                  <c:v>28.8875812462163</c:v>
                </c:pt>
                <c:pt idx="71">
                  <c:v>25.515798190315081</c:v>
                </c:pt>
                <c:pt idx="72">
                  <c:v>22.537511496105125</c:v>
                </c:pt>
                <c:pt idx="73">
                  <c:v>19.906812484753686</c:v>
                </c:pt>
                <c:pt idx="74">
                  <c:v>17.583145623000547</c:v>
                </c:pt>
                <c:pt idx="75">
                  <c:v>15.530684975298197</c:v>
                </c:pt>
                <c:pt idx="76">
                  <c:v>13.717783144654947</c:v>
                </c:pt>
                <c:pt idx="77">
                  <c:v>12.116484306989239</c:v>
                </c:pt>
                <c:pt idx="78">
                  <c:v>10.702093909037918</c:v>
                </c:pt>
                <c:pt idx="79">
                  <c:v>9.4527984556891376</c:v>
                </c:pt>
                <c:pt idx="80">
                  <c:v>8.3493295710789592</c:v>
                </c:pt>
                <c:pt idx="81">
                  <c:v>7.3746671897013796</c:v>
                </c:pt>
                <c:pt idx="82">
                  <c:v>6.5137773288002316</c:v>
                </c:pt>
                <c:pt idx="83">
                  <c:v>5.7533804200728005</c:v>
                </c:pt>
                <c:pt idx="84">
                  <c:v>5.0817466449213002</c:v>
                </c:pt>
                <c:pt idx="85">
                  <c:v>4.4885151300015069</c:v>
                </c:pt>
                <c:pt idx="86">
                  <c:v>3.9645342247445141</c:v>
                </c:pt>
                <c:pt idx="87">
                  <c:v>3.501720405297263</c:v>
                </c:pt>
                <c:pt idx="88">
                  <c:v>3.0929336347635101</c:v>
                </c:pt>
                <c:pt idx="89">
                  <c:v>2.7318672620112459</c:v>
                </c:pt>
                <c:pt idx="90">
                  <c:v>2.4129507644441404</c:v>
                </c:pt>
                <c:pt idx="91">
                  <c:v>2.1312638373819341</c:v>
                </c:pt>
                <c:pt idx="92">
                  <c:v>1.8824605070433724</c:v>
                </c:pt>
                <c:pt idx="93">
                  <c:v>1.6627020982202754</c:v>
                </c:pt>
                <c:pt idx="94">
                  <c:v>1.468598023915078</c:v>
                </c:pt>
                <c:pt idx="95">
                  <c:v>1.2971534845604766</c:v>
                </c:pt>
                <c:pt idx="96">
                  <c:v>1.145723270784186</c:v>
                </c:pt>
                <c:pt idx="97">
                  <c:v>1.0119709576483977</c:v>
                </c:pt>
                <c:pt idx="98">
                  <c:v>0.89383286131920181</c:v>
                </c:pt>
                <c:pt idx="99">
                  <c:v>0.78948620247689394</c:v>
                </c:pt>
                <c:pt idx="100">
                  <c:v>0.69732098558767308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4D-E34B-8F34-F906A7CF2FCF}"/>
            </c:ext>
          </c:extLst>
        </c:ser>
        <c:ser>
          <c:idx val="3"/>
          <c:order val="2"/>
          <c:tx>
            <c:strRef>
              <c:f>Sheet1!$D$7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Sheet1!$A$8:$A$108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Sheet1!$D$8:$D$108</c:f>
              <c:numCache>
                <c:formatCode>General</c:formatCode>
                <c:ptCount val="101"/>
                <c:pt idx="0">
                  <c:v>2500</c:v>
                </c:pt>
                <c:pt idx="1">
                  <c:v>2762.5</c:v>
                </c:pt>
                <c:pt idx="2">
                  <c:v>3111.3625000000002</c:v>
                </c:pt>
                <c:pt idx="3">
                  <c:v>3571.6747074250002</c:v>
                </c:pt>
                <c:pt idx="4">
                  <c:v>4173.3310249652732</c:v>
                </c:pt>
                <c:pt idx="5">
                  <c:v>4950.160029109049</c:v>
                </c:pt>
                <c:pt idx="6">
                  <c:v>5937.6031998315584</c:v>
                </c:pt>
                <c:pt idx="7">
                  <c:v>7168.4540211952144</c:v>
                </c:pt>
                <c:pt idx="8">
                  <c:v>8666.591363259673</c:v>
                </c:pt>
                <c:pt idx="9">
                  <c:v>10439.583682403019</c:v>
                </c:pt>
                <c:pt idx="10">
                  <c:v>12472.309980923683</c:v>
                </c:pt>
                <c:pt idx="11">
                  <c:v>14724.542382045516</c:v>
                </c:pt>
                <c:pt idx="12">
                  <c:v>17134.65246393628</c:v>
                </c:pt>
                <c:pt idx="13">
                  <c:v>19628.985697527602</c:v>
                </c:pt>
                <c:pt idx="14">
                  <c:v>22133.562700431481</c:v>
                </c:pt>
                <c:pt idx="15">
                  <c:v>24583.900540662748</c:v>
                </c:pt>
                <c:pt idx="16">
                  <c:v>26930.435566239215</c:v>
                </c:pt>
                <c:pt idx="17">
                  <c:v>29139.553259466753</c:v>
                </c:pt>
                <c:pt idx="18">
                  <c:v>31191.748992095108</c:v>
                </c:pt>
                <c:pt idx="19">
                  <c:v>33078.596869959911</c:v>
                </c:pt>
                <c:pt idx="20">
                  <c:v>34799.656254961519</c:v>
                </c:pt>
                <c:pt idx="21">
                  <c:v>36359.846980945265</c:v>
                </c:pt>
                <c:pt idx="22">
                  <c:v>37767.432611493132</c:v>
                </c:pt>
                <c:pt idx="23">
                  <c:v>39032.563087517483</c:v>
                </c:pt>
                <c:pt idx="24">
                  <c:v>40166.265782361756</c:v>
                </c:pt>
                <c:pt idx="25">
                  <c:v>41179.771224158882</c:v>
                </c:pt>
                <c:pt idx="26">
                  <c:v>42084.078454714807</c:v>
                </c:pt>
                <c:pt idx="27">
                  <c:v>42889.687522643886</c:v>
                </c:pt>
                <c:pt idx="28">
                  <c:v>43606.446361234433</c:v>
                </c:pt>
                <c:pt idx="29">
                  <c:v>44243.474679518207</c:v>
                </c:pt>
                <c:pt idx="30">
                  <c:v>44809.13879897647</c:v>
                </c:pt>
                <c:pt idx="31">
                  <c:v>45311.059430084548</c:v>
                </c:pt>
                <c:pt idx="32">
                  <c:v>45756.140040009683</c:v>
                </c:pt>
                <c:pt idx="33">
                  <c:v>46150.607399035274</c:v>
                </c:pt>
                <c:pt idx="34">
                  <c:v>46500.058620700656</c:v>
                </c:pt>
                <c:pt idx="35">
                  <c:v>46809.510896622756</c:v>
                </c:pt>
                <c:pt idx="36">
                  <c:v>47083.451429422908</c:v>
                </c:pt>
                <c:pt idx="37">
                  <c:v>47325.885965230897</c:v>
                </c:pt>
                <c:pt idx="38">
                  <c:v>47540.384944719386</c:v>
                </c:pt>
                <c:pt idx="39">
                  <c:v>47730.126714110622</c:v>
                </c:pt>
                <c:pt idx="40">
                  <c:v>47897.937524329922</c:v>
                </c:pt>
                <c:pt idx="41">
                  <c:v>48046.328238581693</c:v>
                </c:pt>
                <c:pt idx="42">
                  <c:v>48177.52779474757</c:v>
                </c:pt>
                <c:pt idx="43">
                  <c:v>48293.513549189578</c:v>
                </c:pt>
                <c:pt idx="44">
                  <c:v>48396.038676844415</c:v>
                </c:pt>
                <c:pt idx="45">
                  <c:v>48486.656828810454</c:v>
                </c:pt>
                <c:pt idx="46">
                  <c:v>48566.74425993277</c:v>
                </c:pt>
                <c:pt idx="47">
                  <c:v>48637.519640104765</c:v>
                </c:pt>
                <c:pt idx="48">
                  <c:v>48700.061757599055</c:v>
                </c:pt>
                <c:pt idx="49">
                  <c:v>48755.325313157227</c:v>
                </c:pt>
                <c:pt idx="50">
                  <c:v>48804.1549915176</c:v>
                </c:pt>
                <c:pt idx="51">
                  <c:v>48847.297983730045</c:v>
                </c:pt>
                <c:pt idx="52">
                  <c:v>48885.415119812649</c:v>
                </c:pt>
                <c:pt idx="53">
                  <c:v>48919.090757596052</c:v>
                </c:pt>
                <c:pt idx="54">
                  <c:v>48948.841560337154</c:v>
                </c:pt>
                <c:pt idx="55">
                  <c:v>48975.124283091041</c:v>
                </c:pt>
                <c:pt idx="56">
                  <c:v>48998.342676037864</c:v>
                </c:pt>
                <c:pt idx="57">
                  <c:v>49018.853602035822</c:v>
                </c:pt>
                <c:pt idx="58">
                  <c:v>49036.972455629679</c:v>
                </c:pt>
                <c:pt idx="59">
                  <c:v>49052.977961575249</c:v>
                </c:pt>
                <c:pt idx="60">
                  <c:v>49067.116422610845</c:v>
                </c:pt>
                <c:pt idx="61">
                  <c:v>49079.605478672456</c:v>
                </c:pt>
                <c:pt idx="62">
                  <c:v>49090.637432957636</c:v>
                </c:pt>
                <c:pt idx="63">
                  <c:v>49100.382194138772</c:v>
                </c:pt>
                <c:pt idx="64">
                  <c:v>49108.98987855306</c:v>
                </c:pt>
                <c:pt idx="65">
                  <c:v>49116.593111298745</c:v>
                </c:pt>
                <c:pt idx="66">
                  <c:v>49123.309060792686</c:v>
                </c:pt>
                <c:pt idx="67">
                  <c:v>49129.241237442147</c:v>
                </c:pt>
                <c:pt idx="68">
                  <c:v>49134.481083608029</c:v>
                </c:pt>
                <c:pt idx="69">
                  <c:v>49139.10937894378</c:v>
                </c:pt>
                <c:pt idx="70">
                  <c:v>49143.197482444783</c:v>
                </c:pt>
                <c:pt idx="71">
                  <c:v>49146.808430100558</c:v>
                </c:pt>
                <c:pt idx="72">
                  <c:v>49149.997904874348</c:v>
                </c:pt>
                <c:pt idx="73">
                  <c:v>49152.815093811361</c:v>
                </c:pt>
                <c:pt idx="74">
                  <c:v>49155.303445371952</c:v>
                </c:pt>
                <c:pt idx="75">
                  <c:v>49157.501338574824</c:v>
                </c:pt>
                <c:pt idx="76">
                  <c:v>49159.44267419674</c:v>
                </c:pt>
                <c:pt idx="77">
                  <c:v>49161.157397089824</c:v>
                </c:pt>
                <c:pt idx="78">
                  <c:v>49162.671957628198</c:v>
                </c:pt>
                <c:pt idx="79">
                  <c:v>49164.009719366826</c:v>
                </c:pt>
                <c:pt idx="80">
                  <c:v>49165.191319173784</c:v>
                </c:pt>
                <c:pt idx="81">
                  <c:v>49166.234985370167</c:v>
                </c:pt>
                <c:pt idx="82">
                  <c:v>49167.156818768883</c:v>
                </c:pt>
                <c:pt idx="83">
                  <c:v>49167.971040934979</c:v>
                </c:pt>
                <c:pt idx="84">
                  <c:v>49168.690213487491</c:v>
                </c:pt>
                <c:pt idx="85">
                  <c:v>49169.325431818106</c:v>
                </c:pt>
                <c:pt idx="86">
                  <c:v>49169.886496209358</c:v>
                </c:pt>
                <c:pt idx="87">
                  <c:v>49170.382062987454</c:v>
                </c:pt>
                <c:pt idx="88">
                  <c:v>49170.819778038116</c:v>
                </c:pt>
                <c:pt idx="89">
                  <c:v>49171.206394742461</c:v>
                </c:pt>
                <c:pt idx="90">
                  <c:v>49171.54787815021</c:v>
                </c:pt>
                <c:pt idx="91">
                  <c:v>49171.849496995768</c:v>
                </c:pt>
                <c:pt idx="92">
                  <c:v>49172.115904975442</c:v>
                </c:pt>
                <c:pt idx="93">
                  <c:v>49172.351212538822</c:v>
                </c:pt>
                <c:pt idx="94">
                  <c:v>49172.559050301097</c:v>
                </c:pt>
                <c:pt idx="95">
                  <c:v>49172.742625054088</c:v>
                </c:pt>
                <c:pt idx="96">
                  <c:v>49172.904769239656</c:v>
                </c:pt>
                <c:pt idx="97">
                  <c:v>49173.047984648503</c:v>
                </c:pt>
                <c:pt idx="98">
                  <c:v>49173.174481018206</c:v>
                </c:pt>
                <c:pt idx="99">
                  <c:v>49173.286210125872</c:v>
                </c:pt>
                <c:pt idx="100">
                  <c:v>49173.384895901181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4D-E34B-8F34-F906A7CF2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9626544"/>
        <c:axId val="1969732112"/>
      </c:lineChart>
      <c:catAx>
        <c:axId val="1969626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732112"/>
        <c:crosses val="autoZero"/>
        <c:auto val="1"/>
        <c:lblAlgn val="ctr"/>
        <c:lblOffset val="100"/>
        <c:tickLblSkip val="10"/>
        <c:noMultiLvlLbl val="0"/>
      </c:catAx>
      <c:valAx>
        <c:axId val="196973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people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626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754396</xdr:colOff>
      <xdr:row>8</xdr:row>
      <xdr:rowOff>112631</xdr:rowOff>
    </xdr:from>
    <xdr:to>
      <xdr:col>14</xdr:col>
      <xdr:colOff>266700</xdr:colOff>
      <xdr:row>19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BDBFD8-6CE1-1848-A826-E0F1473304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7FBE4-1EBF-0540-AFC6-7597D4199E68}">
  <dimension ref="A1:G386"/>
  <sheetViews>
    <sheetView tabSelected="1" zoomScaleNormal="100" workbookViewId="0"/>
  </sheetViews>
  <sheetFormatPr baseColWidth="10" defaultRowHeight="19" x14ac:dyDescent="0.25"/>
  <cols>
    <col min="1" max="7" width="10.83203125" style="3"/>
    <col min="8" max="16384" width="10.83203125" style="1"/>
  </cols>
  <sheetData>
    <row r="1" spans="1:7" x14ac:dyDescent="0.25">
      <c r="A1" s="2" t="s">
        <v>0</v>
      </c>
    </row>
    <row r="2" spans="1:7" x14ac:dyDescent="0.25">
      <c r="A2" s="2"/>
    </row>
    <row r="3" spans="1:7" x14ac:dyDescent="0.25">
      <c r="A3" s="3" t="s">
        <v>1</v>
      </c>
      <c r="B3" s="5" t="s">
        <v>2</v>
      </c>
    </row>
    <row r="4" spans="1:7" x14ac:dyDescent="0.25">
      <c r="A4" s="3" t="s">
        <v>3</v>
      </c>
      <c r="B4" s="5" t="s">
        <v>4</v>
      </c>
    </row>
    <row r="5" spans="1:7" x14ac:dyDescent="0.25">
      <c r="A5" s="3" t="s">
        <v>5</v>
      </c>
      <c r="B5" s="5" t="s">
        <v>6</v>
      </c>
    </row>
    <row r="7" spans="1:7" x14ac:dyDescent="0.25">
      <c r="A7" s="4" t="s">
        <v>7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13</v>
      </c>
    </row>
    <row r="8" spans="1:7" x14ac:dyDescent="0.25">
      <c r="A8" s="3">
        <v>0</v>
      </c>
      <c r="B8" s="3">
        <v>45400</v>
      </c>
      <c r="C8" s="3">
        <v>2100</v>
      </c>
      <c r="D8" s="3">
        <v>2500</v>
      </c>
      <c r="E8" s="3">
        <f>-0.00001*B8*C8</f>
        <v>-953.4</v>
      </c>
      <c r="F8" s="3">
        <f>0.00001*B8*C8-(1/8)*C8</f>
        <v>690.9</v>
      </c>
      <c r="G8" s="3">
        <f>(1/8)*C8</f>
        <v>262.5</v>
      </c>
    </row>
    <row r="9" spans="1:7" x14ac:dyDescent="0.25">
      <c r="A9" s="3">
        <v>1</v>
      </c>
      <c r="B9" s="3">
        <f>B8+E8*1</f>
        <v>44446.6</v>
      </c>
      <c r="C9" s="3">
        <f>C8+F8*1</f>
        <v>2790.9</v>
      </c>
      <c r="D9" s="3">
        <f>D8+G8*1</f>
        <v>2762.5</v>
      </c>
      <c r="E9" s="3">
        <f>-0.00001*B9*C9</f>
        <v>-1240.4601594000001</v>
      </c>
      <c r="F9" s="3">
        <f>0.00001*B9*C9-(1/8)*C9</f>
        <v>891.59765940000011</v>
      </c>
      <c r="G9" s="3">
        <f>(1/8)*C9</f>
        <v>348.86250000000001</v>
      </c>
    </row>
    <row r="10" spans="1:7" x14ac:dyDescent="0.25">
      <c r="A10" s="3">
        <v>2</v>
      </c>
      <c r="B10" s="3">
        <f t="shared" ref="B10:B73" si="0">B9+E9*1</f>
        <v>43206.139840600001</v>
      </c>
      <c r="C10" s="3">
        <f t="shared" ref="C10:C73" si="1">C9+F9*1</f>
        <v>3682.4976594</v>
      </c>
      <c r="D10" s="3">
        <f t="shared" ref="D10:D73" si="2">D9+G9*1</f>
        <v>3111.3625000000002</v>
      </c>
      <c r="E10" s="3">
        <f t="shared" ref="E10:E73" si="3">-0.00001*B10*C10</f>
        <v>-1591.065088347186</v>
      </c>
      <c r="F10" s="3">
        <f t="shared" ref="F10:F73" si="4">0.00001*B10*C10-(1/8)*C10</f>
        <v>1130.752880922186</v>
      </c>
      <c r="G10" s="3">
        <f t="shared" ref="G10:G73" si="5">(1/8)*C10</f>
        <v>460.312207425</v>
      </c>
    </row>
    <row r="11" spans="1:7" x14ac:dyDescent="0.25">
      <c r="A11" s="3">
        <v>3</v>
      </c>
      <c r="B11" s="3">
        <f t="shared" si="0"/>
        <v>41615.074752252818</v>
      </c>
      <c r="C11" s="3">
        <f t="shared" si="1"/>
        <v>4813.2505403221858</v>
      </c>
      <c r="D11" s="3">
        <f t="shared" si="2"/>
        <v>3571.6747074250002</v>
      </c>
      <c r="E11" s="3">
        <f t="shared" si="3"/>
        <v>-2003.0378103682906</v>
      </c>
      <c r="F11" s="3">
        <f t="shared" si="4"/>
        <v>1401.3814928280174</v>
      </c>
      <c r="G11" s="3">
        <f t="shared" si="5"/>
        <v>601.65631754027322</v>
      </c>
    </row>
    <row r="12" spans="1:7" x14ac:dyDescent="0.25">
      <c r="A12" s="3">
        <v>4</v>
      </c>
      <c r="B12" s="3">
        <f t="shared" si="0"/>
        <v>39612.036941884529</v>
      </c>
      <c r="C12" s="3">
        <f t="shared" si="1"/>
        <v>6214.6320331502029</v>
      </c>
      <c r="D12" s="3">
        <f t="shared" si="2"/>
        <v>4173.3310249652732</v>
      </c>
      <c r="E12" s="3">
        <f t="shared" si="3"/>
        <v>-2461.7423367736483</v>
      </c>
      <c r="F12" s="3">
        <f t="shared" si="4"/>
        <v>1684.9133326298729</v>
      </c>
      <c r="G12" s="3">
        <f t="shared" si="5"/>
        <v>776.82900414377536</v>
      </c>
    </row>
    <row r="13" spans="1:7" x14ac:dyDescent="0.25">
      <c r="A13" s="3">
        <v>5</v>
      </c>
      <c r="B13" s="3">
        <f t="shared" si="0"/>
        <v>37150.294605110881</v>
      </c>
      <c r="C13" s="3">
        <f t="shared" si="1"/>
        <v>7899.5453657800754</v>
      </c>
      <c r="D13" s="3">
        <f t="shared" si="2"/>
        <v>4950.160029109049</v>
      </c>
      <c r="E13" s="3">
        <f t="shared" si="3"/>
        <v>-2934.704375851682</v>
      </c>
      <c r="F13" s="3">
        <f t="shared" si="4"/>
        <v>1947.2612051291726</v>
      </c>
      <c r="G13" s="3">
        <f t="shared" si="5"/>
        <v>987.44317072250942</v>
      </c>
    </row>
    <row r="14" spans="1:7" x14ac:dyDescent="0.25">
      <c r="A14" s="3">
        <v>6</v>
      </c>
      <c r="B14" s="3">
        <f t="shared" si="0"/>
        <v>34215.5902292592</v>
      </c>
      <c r="C14" s="3">
        <f t="shared" si="1"/>
        <v>9846.806570909248</v>
      </c>
      <c r="D14" s="3">
        <f t="shared" si="2"/>
        <v>5937.6031998315584</v>
      </c>
      <c r="E14" s="3">
        <f t="shared" si="3"/>
        <v>-3369.1429869700778</v>
      </c>
      <c r="F14" s="3">
        <f t="shared" si="4"/>
        <v>2138.2921656064218</v>
      </c>
      <c r="G14" s="3">
        <f t="shared" si="5"/>
        <v>1230.850821363656</v>
      </c>
    </row>
    <row r="15" spans="1:7" x14ac:dyDescent="0.25">
      <c r="A15" s="3">
        <v>7</v>
      </c>
      <c r="B15" s="3">
        <f t="shared" si="0"/>
        <v>30846.447242289123</v>
      </c>
      <c r="C15" s="3">
        <f t="shared" si="1"/>
        <v>11985.098736515669</v>
      </c>
      <c r="D15" s="3">
        <f t="shared" si="2"/>
        <v>7168.4540211952144</v>
      </c>
      <c r="E15" s="3">
        <f t="shared" si="3"/>
        <v>-3696.9771586955667</v>
      </c>
      <c r="F15" s="3">
        <f t="shared" si="4"/>
        <v>2198.8398166311081</v>
      </c>
      <c r="G15" s="3">
        <f t="shared" si="5"/>
        <v>1498.1373420644586</v>
      </c>
    </row>
    <row r="16" spans="1:7" x14ac:dyDescent="0.25">
      <c r="A16" s="3">
        <v>8</v>
      </c>
      <c r="B16" s="3">
        <f t="shared" si="0"/>
        <v>27149.470083593558</v>
      </c>
      <c r="C16" s="3">
        <f t="shared" si="1"/>
        <v>14183.938553146778</v>
      </c>
      <c r="D16" s="3">
        <f t="shared" si="2"/>
        <v>8666.591363259673</v>
      </c>
      <c r="E16" s="3">
        <f t="shared" si="3"/>
        <v>-3850.8641541618781</v>
      </c>
      <c r="F16" s="3">
        <f t="shared" si="4"/>
        <v>2077.8718350185309</v>
      </c>
      <c r="G16" s="3">
        <f t="shared" si="5"/>
        <v>1772.9923191433472</v>
      </c>
    </row>
    <row r="17" spans="1:7" x14ac:dyDescent="0.25">
      <c r="A17" s="3">
        <v>9</v>
      </c>
      <c r="B17" s="3">
        <f t="shared" si="0"/>
        <v>23298.60592943168</v>
      </c>
      <c r="C17" s="3">
        <f t="shared" si="1"/>
        <v>16261.810388165308</v>
      </c>
      <c r="D17" s="3">
        <f t="shared" si="2"/>
        <v>10439.583682403019</v>
      </c>
      <c r="E17" s="3">
        <f t="shared" si="3"/>
        <v>-3788.7751193300196</v>
      </c>
      <c r="F17" s="3">
        <f t="shared" si="4"/>
        <v>1756.0488208093561</v>
      </c>
      <c r="G17" s="3">
        <f t="shared" si="5"/>
        <v>2032.7262985206635</v>
      </c>
    </row>
    <row r="18" spans="1:7" x14ac:dyDescent="0.25">
      <c r="A18" s="3">
        <v>10</v>
      </c>
      <c r="B18" s="3">
        <f t="shared" si="0"/>
        <v>19509.830810101659</v>
      </c>
      <c r="C18" s="3">
        <f t="shared" si="1"/>
        <v>18017.859208974663</v>
      </c>
      <c r="D18" s="3">
        <f t="shared" si="2"/>
        <v>12472.309980923683</v>
      </c>
      <c r="E18" s="3">
        <f t="shared" si="3"/>
        <v>-3515.2538472732781</v>
      </c>
      <c r="F18" s="3">
        <f t="shared" si="4"/>
        <v>1263.0214461514452</v>
      </c>
      <c r="G18" s="3">
        <f t="shared" si="5"/>
        <v>2252.2324011218329</v>
      </c>
    </row>
    <row r="19" spans="1:7" x14ac:dyDescent="0.25">
      <c r="A19" s="3">
        <v>11</v>
      </c>
      <c r="B19" s="3">
        <f t="shared" si="0"/>
        <v>15994.576962828382</v>
      </c>
      <c r="C19" s="3">
        <f t="shared" si="1"/>
        <v>19280.880655126108</v>
      </c>
      <c r="D19" s="3">
        <f t="shared" si="2"/>
        <v>14724.542382045516</v>
      </c>
      <c r="E19" s="3">
        <f t="shared" si="3"/>
        <v>-3083.8952954952347</v>
      </c>
      <c r="F19" s="3">
        <f t="shared" si="4"/>
        <v>673.78521360447121</v>
      </c>
      <c r="G19" s="3">
        <f t="shared" si="5"/>
        <v>2410.1100818907635</v>
      </c>
    </row>
    <row r="20" spans="1:7" x14ac:dyDescent="0.25">
      <c r="A20" s="3">
        <v>12</v>
      </c>
      <c r="B20" s="3">
        <f t="shared" si="0"/>
        <v>12910.681667333147</v>
      </c>
      <c r="C20" s="3">
        <f t="shared" si="1"/>
        <v>19954.665868730579</v>
      </c>
      <c r="D20" s="3">
        <f t="shared" si="2"/>
        <v>17134.65246393628</v>
      </c>
      <c r="E20" s="3">
        <f t="shared" si="3"/>
        <v>-2576.2833880917838</v>
      </c>
      <c r="F20" s="3">
        <f t="shared" si="4"/>
        <v>81.950154500461394</v>
      </c>
      <c r="G20" s="3">
        <f t="shared" si="5"/>
        <v>2494.3332335913224</v>
      </c>
    </row>
    <row r="21" spans="1:7" x14ac:dyDescent="0.25">
      <c r="A21" s="3">
        <v>13</v>
      </c>
      <c r="B21" s="3">
        <f t="shared" si="0"/>
        <v>10334.398279241363</v>
      </c>
      <c r="C21" s="3">
        <f t="shared" si="1"/>
        <v>20036.616023231039</v>
      </c>
      <c r="D21" s="3">
        <f t="shared" si="2"/>
        <v>19628.985697527602</v>
      </c>
      <c r="E21" s="3">
        <f t="shared" si="3"/>
        <v>-2070.663701522988</v>
      </c>
      <c r="F21" s="3">
        <f t="shared" si="4"/>
        <v>-433.91330138089188</v>
      </c>
      <c r="G21" s="3">
        <f t="shared" si="5"/>
        <v>2504.5770029038799</v>
      </c>
    </row>
    <row r="22" spans="1:7" x14ac:dyDescent="0.25">
      <c r="A22" s="3">
        <v>14</v>
      </c>
      <c r="B22" s="3">
        <f t="shared" si="0"/>
        <v>8263.7345777183746</v>
      </c>
      <c r="C22" s="3">
        <f t="shared" si="1"/>
        <v>19602.702721850146</v>
      </c>
      <c r="D22" s="3">
        <f t="shared" si="2"/>
        <v>22133.562700431481</v>
      </c>
      <c r="E22" s="3">
        <f t="shared" si="3"/>
        <v>-1619.9153229928716</v>
      </c>
      <c r="F22" s="3">
        <f t="shared" si="4"/>
        <v>-830.42251723839672</v>
      </c>
      <c r="G22" s="3">
        <f t="shared" si="5"/>
        <v>2450.3378402312683</v>
      </c>
    </row>
    <row r="23" spans="1:7" x14ac:dyDescent="0.25">
      <c r="A23" s="3">
        <v>15</v>
      </c>
      <c r="B23" s="3">
        <f t="shared" si="0"/>
        <v>6643.819254725503</v>
      </c>
      <c r="C23" s="3">
        <f t="shared" si="1"/>
        <v>18772.28020461175</v>
      </c>
      <c r="D23" s="3">
        <f t="shared" si="2"/>
        <v>24583.900540662748</v>
      </c>
      <c r="E23" s="3">
        <f t="shared" si="3"/>
        <v>-1247.1963667850198</v>
      </c>
      <c r="F23" s="3">
        <f t="shared" si="4"/>
        <v>-1099.338658791449</v>
      </c>
      <c r="G23" s="3">
        <f t="shared" si="5"/>
        <v>2346.5350255764688</v>
      </c>
    </row>
    <row r="24" spans="1:7" x14ac:dyDescent="0.25">
      <c r="A24" s="3">
        <v>16</v>
      </c>
      <c r="B24" s="3">
        <f t="shared" si="0"/>
        <v>5396.6228879404835</v>
      </c>
      <c r="C24" s="3">
        <f t="shared" si="1"/>
        <v>17672.9415458203</v>
      </c>
      <c r="D24" s="3">
        <f t="shared" si="2"/>
        <v>26930.435566239215</v>
      </c>
      <c r="E24" s="3">
        <f t="shared" si="3"/>
        <v>-953.74200843408107</v>
      </c>
      <c r="F24" s="3">
        <f t="shared" si="4"/>
        <v>-1255.3756847934565</v>
      </c>
      <c r="G24" s="3">
        <f t="shared" si="5"/>
        <v>2209.1176932275375</v>
      </c>
    </row>
    <row r="25" spans="1:7" x14ac:dyDescent="0.25">
      <c r="A25" s="3">
        <v>17</v>
      </c>
      <c r="B25" s="3">
        <f t="shared" si="0"/>
        <v>4442.8808795064024</v>
      </c>
      <c r="C25" s="3">
        <f t="shared" si="1"/>
        <v>16417.565861026844</v>
      </c>
      <c r="D25" s="3">
        <f t="shared" si="2"/>
        <v>29139.553259466753</v>
      </c>
      <c r="E25" s="3">
        <f t="shared" si="3"/>
        <v>-729.41289451993237</v>
      </c>
      <c r="F25" s="3">
        <f t="shared" si="4"/>
        <v>-1322.7828381084232</v>
      </c>
      <c r="G25" s="3">
        <f t="shared" si="5"/>
        <v>2052.1957326283555</v>
      </c>
    </row>
    <row r="26" spans="1:7" x14ac:dyDescent="0.25">
      <c r="A26" s="3">
        <v>18</v>
      </c>
      <c r="B26" s="3">
        <f t="shared" si="0"/>
        <v>3713.4679849864701</v>
      </c>
      <c r="C26" s="3">
        <f t="shared" si="1"/>
        <v>15094.78302291842</v>
      </c>
      <c r="D26" s="3">
        <f t="shared" si="2"/>
        <v>31191.748992095108</v>
      </c>
      <c r="E26" s="3">
        <f t="shared" si="3"/>
        <v>-560.53993495924851</v>
      </c>
      <c r="F26" s="3">
        <f t="shared" si="4"/>
        <v>-1326.307942905554</v>
      </c>
      <c r="G26" s="3">
        <f t="shared" si="5"/>
        <v>1886.8478778648025</v>
      </c>
    </row>
    <row r="27" spans="1:7" x14ac:dyDescent="0.25">
      <c r="A27" s="3">
        <v>19</v>
      </c>
      <c r="B27" s="3">
        <f t="shared" si="0"/>
        <v>3152.9280500272216</v>
      </c>
      <c r="C27" s="3">
        <f t="shared" si="1"/>
        <v>13768.475080012866</v>
      </c>
      <c r="D27" s="3">
        <f t="shared" si="2"/>
        <v>33078.596869959911</v>
      </c>
      <c r="E27" s="3">
        <f t="shared" si="3"/>
        <v>-434.11011285873366</v>
      </c>
      <c r="F27" s="3">
        <f t="shared" si="4"/>
        <v>-1286.9492721428746</v>
      </c>
      <c r="G27" s="3">
        <f t="shared" si="5"/>
        <v>1721.0593850016082</v>
      </c>
    </row>
    <row r="28" spans="1:7" x14ac:dyDescent="0.25">
      <c r="A28" s="3">
        <v>20</v>
      </c>
      <c r="B28" s="3">
        <f t="shared" si="0"/>
        <v>2718.8179371684878</v>
      </c>
      <c r="C28" s="3">
        <f t="shared" si="1"/>
        <v>12481.525807869992</v>
      </c>
      <c r="D28" s="3">
        <f t="shared" si="2"/>
        <v>34799.656254961519</v>
      </c>
      <c r="E28" s="3">
        <f t="shared" si="3"/>
        <v>-339.34996249668336</v>
      </c>
      <c r="F28" s="3">
        <f t="shared" si="4"/>
        <v>-1220.8407634870655</v>
      </c>
      <c r="G28" s="3">
        <f t="shared" si="5"/>
        <v>1560.190725983749</v>
      </c>
    </row>
    <row r="29" spans="1:7" x14ac:dyDescent="0.25">
      <c r="A29" s="3">
        <v>21</v>
      </c>
      <c r="B29" s="3">
        <f t="shared" si="0"/>
        <v>2379.4679746718043</v>
      </c>
      <c r="C29" s="3">
        <f t="shared" si="1"/>
        <v>11260.685044382926</v>
      </c>
      <c r="D29" s="3">
        <f t="shared" si="2"/>
        <v>36359.846980945265</v>
      </c>
      <c r="E29" s="3">
        <f t="shared" si="3"/>
        <v>-267.9443943597492</v>
      </c>
      <c r="F29" s="3">
        <f t="shared" si="4"/>
        <v>-1139.6412361881166</v>
      </c>
      <c r="G29" s="3">
        <f t="shared" si="5"/>
        <v>1407.5856305478658</v>
      </c>
    </row>
    <row r="30" spans="1:7" x14ac:dyDescent="0.25">
      <c r="A30" s="3">
        <v>22</v>
      </c>
      <c r="B30" s="3">
        <f t="shared" si="0"/>
        <v>2111.5235803120549</v>
      </c>
      <c r="C30" s="3">
        <f t="shared" si="1"/>
        <v>10121.043808194809</v>
      </c>
      <c r="D30" s="3">
        <f t="shared" si="2"/>
        <v>37767.432611493132</v>
      </c>
      <c r="E30" s="3">
        <f t="shared" si="3"/>
        <v>-213.70822658374661</v>
      </c>
      <c r="F30" s="3">
        <f t="shared" si="4"/>
        <v>-1051.4222494406044</v>
      </c>
      <c r="G30" s="3">
        <f t="shared" si="5"/>
        <v>1265.1304760243511</v>
      </c>
    </row>
    <row r="31" spans="1:7" x14ac:dyDescent="0.25">
      <c r="A31" s="3">
        <v>23</v>
      </c>
      <c r="B31" s="3">
        <f t="shared" si="0"/>
        <v>1897.8153537283083</v>
      </c>
      <c r="C31" s="3">
        <f t="shared" si="1"/>
        <v>9069.6215587542047</v>
      </c>
      <c r="D31" s="3">
        <f t="shared" si="2"/>
        <v>39032.563087517483</v>
      </c>
      <c r="E31" s="3">
        <f t="shared" si="3"/>
        <v>-172.12467046709003</v>
      </c>
      <c r="F31" s="3">
        <f t="shared" si="4"/>
        <v>-961.57802437718556</v>
      </c>
      <c r="G31" s="3">
        <f t="shared" si="5"/>
        <v>1133.7026948442756</v>
      </c>
    </row>
    <row r="32" spans="1:7" x14ac:dyDescent="0.25">
      <c r="A32" s="3">
        <v>24</v>
      </c>
      <c r="B32" s="3">
        <f t="shared" si="0"/>
        <v>1725.6906832612183</v>
      </c>
      <c r="C32" s="3">
        <f t="shared" si="1"/>
        <v>8108.0435343770187</v>
      </c>
      <c r="D32" s="3">
        <f t="shared" si="2"/>
        <v>40166.265782361756</v>
      </c>
      <c r="E32" s="3">
        <f t="shared" si="3"/>
        <v>-139.91975186750781</v>
      </c>
      <c r="F32" s="3">
        <f t="shared" si="4"/>
        <v>-873.58568992961955</v>
      </c>
      <c r="G32" s="3">
        <f t="shared" si="5"/>
        <v>1013.5054417971273</v>
      </c>
    </row>
    <row r="33" spans="1:7" x14ac:dyDescent="0.25">
      <c r="A33" s="3">
        <v>25</v>
      </c>
      <c r="B33" s="3">
        <f t="shared" si="0"/>
        <v>1585.7709313937105</v>
      </c>
      <c r="C33" s="3">
        <f t="shared" si="1"/>
        <v>7234.4578444473991</v>
      </c>
      <c r="D33" s="3">
        <f t="shared" si="2"/>
        <v>41179.771224158882</v>
      </c>
      <c r="E33" s="3">
        <f t="shared" si="3"/>
        <v>-114.72192954117888</v>
      </c>
      <c r="F33" s="3">
        <f t="shared" si="4"/>
        <v>-789.58530101474605</v>
      </c>
      <c r="G33" s="3">
        <f t="shared" si="5"/>
        <v>904.30723055592489</v>
      </c>
    </row>
    <row r="34" spans="1:7" x14ac:dyDescent="0.25">
      <c r="A34" s="3">
        <v>26</v>
      </c>
      <c r="B34" s="3">
        <f t="shared" si="0"/>
        <v>1471.0490018525315</v>
      </c>
      <c r="C34" s="3">
        <f t="shared" si="1"/>
        <v>6444.8725434326534</v>
      </c>
      <c r="D34" s="3">
        <f t="shared" si="2"/>
        <v>42084.078454714807</v>
      </c>
      <c r="E34" s="3">
        <f t="shared" si="3"/>
        <v>-94.807233220833922</v>
      </c>
      <c r="F34" s="3">
        <f t="shared" si="4"/>
        <v>-710.80183470824772</v>
      </c>
      <c r="G34" s="3">
        <f t="shared" si="5"/>
        <v>805.60906792908168</v>
      </c>
    </row>
    <row r="35" spans="1:7" x14ac:dyDescent="0.25">
      <c r="A35" s="3">
        <v>27</v>
      </c>
      <c r="B35" s="3">
        <f t="shared" si="0"/>
        <v>1376.2417686316976</v>
      </c>
      <c r="C35" s="3">
        <f t="shared" si="1"/>
        <v>5734.0707087244054</v>
      </c>
      <c r="D35" s="3">
        <f t="shared" si="2"/>
        <v>42889.687522643886</v>
      </c>
      <c r="E35" s="3">
        <f t="shared" si="3"/>
        <v>-78.914676136340873</v>
      </c>
      <c r="F35" s="3">
        <f t="shared" si="4"/>
        <v>-637.84416245420982</v>
      </c>
      <c r="G35" s="3">
        <f t="shared" si="5"/>
        <v>716.75883859055068</v>
      </c>
    </row>
    <row r="36" spans="1:7" x14ac:dyDescent="0.25">
      <c r="A36" s="3">
        <v>28</v>
      </c>
      <c r="B36" s="3">
        <f t="shared" si="0"/>
        <v>1297.3270924953567</v>
      </c>
      <c r="C36" s="3">
        <f t="shared" si="1"/>
        <v>5096.2265462701953</v>
      </c>
      <c r="D36" s="3">
        <f t="shared" si="2"/>
        <v>43606.446361234433</v>
      </c>
      <c r="E36" s="3">
        <f t="shared" si="3"/>
        <v>-66.114727679703662</v>
      </c>
      <c r="F36" s="3">
        <f t="shared" si="4"/>
        <v>-570.91359060407081</v>
      </c>
      <c r="G36" s="3">
        <f t="shared" si="5"/>
        <v>637.02831828377441</v>
      </c>
    </row>
    <row r="37" spans="1:7" x14ac:dyDescent="0.25">
      <c r="A37" s="3">
        <v>29</v>
      </c>
      <c r="B37" s="3">
        <f t="shared" si="0"/>
        <v>1231.212364815653</v>
      </c>
      <c r="C37" s="3">
        <f t="shared" si="1"/>
        <v>4525.3129556661243</v>
      </c>
      <c r="D37" s="3">
        <f t="shared" si="2"/>
        <v>44243.474679518207</v>
      </c>
      <c r="E37" s="3">
        <f t="shared" si="3"/>
        <v>-55.716212656766018</v>
      </c>
      <c r="F37" s="3">
        <f t="shared" si="4"/>
        <v>-509.94790680149953</v>
      </c>
      <c r="G37" s="3">
        <f t="shared" si="5"/>
        <v>565.66411945826553</v>
      </c>
    </row>
    <row r="38" spans="1:7" x14ac:dyDescent="0.25">
      <c r="A38" s="3">
        <v>30</v>
      </c>
      <c r="B38" s="3">
        <f t="shared" si="0"/>
        <v>1175.4961521588871</v>
      </c>
      <c r="C38" s="3">
        <f t="shared" si="1"/>
        <v>4015.3650488646249</v>
      </c>
      <c r="D38" s="3">
        <f t="shared" si="2"/>
        <v>44809.13879897647</v>
      </c>
      <c r="E38" s="3">
        <f t="shared" si="3"/>
        <v>-47.200461644536489</v>
      </c>
      <c r="F38" s="3">
        <f t="shared" si="4"/>
        <v>-454.72016946354165</v>
      </c>
      <c r="G38" s="3">
        <f t="shared" si="5"/>
        <v>501.92063110807811</v>
      </c>
    </row>
    <row r="39" spans="1:7" x14ac:dyDescent="0.25">
      <c r="A39" s="3">
        <v>31</v>
      </c>
      <c r="B39" s="3">
        <f t="shared" si="0"/>
        <v>1128.2956905143506</v>
      </c>
      <c r="C39" s="3">
        <f t="shared" si="1"/>
        <v>3560.644879401083</v>
      </c>
      <c r="D39" s="3">
        <f t="shared" si="2"/>
        <v>45311.059430084548</v>
      </c>
      <c r="E39" s="3">
        <f t="shared" si="3"/>
        <v>-40.17460272880232</v>
      </c>
      <c r="F39" s="3">
        <f t="shared" si="4"/>
        <v>-404.90600719633306</v>
      </c>
      <c r="G39" s="3">
        <f t="shared" si="5"/>
        <v>445.08060992513538</v>
      </c>
    </row>
    <row r="40" spans="1:7" x14ac:dyDescent="0.25">
      <c r="A40" s="3">
        <v>32</v>
      </c>
      <c r="B40" s="3">
        <f t="shared" si="0"/>
        <v>1088.1210877855483</v>
      </c>
      <c r="C40" s="3">
        <f t="shared" si="1"/>
        <v>3155.7388722047499</v>
      </c>
      <c r="D40" s="3">
        <f t="shared" si="2"/>
        <v>45756.140040009683</v>
      </c>
      <c r="E40" s="3">
        <f t="shared" si="3"/>
        <v>-34.338260143905721</v>
      </c>
      <c r="F40" s="3">
        <f t="shared" si="4"/>
        <v>-360.12909888168804</v>
      </c>
      <c r="G40" s="3">
        <f t="shared" si="5"/>
        <v>394.46735902559374</v>
      </c>
    </row>
    <row r="41" spans="1:7" x14ac:dyDescent="0.25">
      <c r="A41" s="3">
        <v>33</v>
      </c>
      <c r="B41" s="3">
        <f t="shared" si="0"/>
        <v>1053.7828276416426</v>
      </c>
      <c r="C41" s="3">
        <f t="shared" si="1"/>
        <v>2795.6097733230617</v>
      </c>
      <c r="D41" s="3">
        <f t="shared" si="2"/>
        <v>46150.607399035274</v>
      </c>
      <c r="E41" s="3">
        <f t="shared" si="3"/>
        <v>-29.459655719149879</v>
      </c>
      <c r="F41" s="3">
        <f t="shared" si="4"/>
        <v>-319.99156594623287</v>
      </c>
      <c r="G41" s="3">
        <f t="shared" si="5"/>
        <v>349.45122166538272</v>
      </c>
    </row>
    <row r="42" spans="1:7" x14ac:dyDescent="0.25">
      <c r="A42" s="3">
        <v>34</v>
      </c>
      <c r="B42" s="3">
        <f t="shared" si="0"/>
        <v>1024.3231719224927</v>
      </c>
      <c r="C42" s="3">
        <f t="shared" si="1"/>
        <v>2475.6182073768287</v>
      </c>
      <c r="D42" s="3">
        <f t="shared" si="2"/>
        <v>46500.058620700656</v>
      </c>
      <c r="E42" s="3">
        <f t="shared" si="3"/>
        <v>-25.358330946493087</v>
      </c>
      <c r="F42" s="3">
        <f t="shared" si="4"/>
        <v>-284.0939449756105</v>
      </c>
      <c r="G42" s="3">
        <f t="shared" si="5"/>
        <v>309.45227592210358</v>
      </c>
    </row>
    <row r="43" spans="1:7" x14ac:dyDescent="0.25">
      <c r="A43" s="3">
        <v>35</v>
      </c>
      <c r="B43" s="3">
        <f t="shared" si="0"/>
        <v>998.96484097599966</v>
      </c>
      <c r="C43" s="3">
        <f t="shared" si="1"/>
        <v>2191.524262401218</v>
      </c>
      <c r="D43" s="3">
        <f t="shared" si="2"/>
        <v>46809.510896622756</v>
      </c>
      <c r="E43" s="3">
        <f t="shared" si="3"/>
        <v>-21.892556862846778</v>
      </c>
      <c r="F43" s="3">
        <f t="shared" si="4"/>
        <v>-252.04797593730547</v>
      </c>
      <c r="G43" s="3">
        <f t="shared" si="5"/>
        <v>273.94053280015225</v>
      </c>
    </row>
    <row r="44" spans="1:7" x14ac:dyDescent="0.25">
      <c r="A44" s="3">
        <v>36</v>
      </c>
      <c r="B44" s="3">
        <f t="shared" si="0"/>
        <v>977.07228411315293</v>
      </c>
      <c r="C44" s="3">
        <f t="shared" si="1"/>
        <v>1939.4762864639126</v>
      </c>
      <c r="D44" s="3">
        <f t="shared" si="2"/>
        <v>47083.451429422908</v>
      </c>
      <c r="E44" s="3">
        <f t="shared" si="3"/>
        <v>-18.950085251985911</v>
      </c>
      <c r="F44" s="3">
        <f t="shared" si="4"/>
        <v>-223.48445055600317</v>
      </c>
      <c r="G44" s="3">
        <f t="shared" si="5"/>
        <v>242.43453580798908</v>
      </c>
    </row>
    <row r="45" spans="1:7" x14ac:dyDescent="0.25">
      <c r="A45" s="3">
        <v>37</v>
      </c>
      <c r="B45" s="3">
        <f t="shared" si="0"/>
        <v>958.12219886116702</v>
      </c>
      <c r="C45" s="3">
        <f t="shared" si="1"/>
        <v>1715.9918359079095</v>
      </c>
      <c r="D45" s="3">
        <f t="shared" si="2"/>
        <v>47325.885965230897</v>
      </c>
      <c r="E45" s="3">
        <f t="shared" si="3"/>
        <v>-16.441298710478971</v>
      </c>
      <c r="F45" s="3">
        <f t="shared" si="4"/>
        <v>-198.05768077800971</v>
      </c>
      <c r="G45" s="3">
        <f t="shared" si="5"/>
        <v>214.49897948848869</v>
      </c>
    </row>
    <row r="46" spans="1:7" x14ac:dyDescent="0.25">
      <c r="A46" s="3">
        <v>38</v>
      </c>
      <c r="B46" s="3">
        <f t="shared" si="0"/>
        <v>941.6809001506881</v>
      </c>
      <c r="C46" s="3">
        <f t="shared" si="1"/>
        <v>1517.9341551298999</v>
      </c>
      <c r="D46" s="3">
        <f t="shared" si="2"/>
        <v>47540.384944719386</v>
      </c>
      <c r="E46" s="3">
        <f t="shared" si="3"/>
        <v>-14.294096015721983</v>
      </c>
      <c r="F46" s="3">
        <f t="shared" si="4"/>
        <v>-175.44767337551551</v>
      </c>
      <c r="G46" s="3">
        <f t="shared" si="5"/>
        <v>189.74176939123748</v>
      </c>
    </row>
    <row r="47" spans="1:7" x14ac:dyDescent="0.25">
      <c r="A47" s="3">
        <v>39</v>
      </c>
      <c r="B47" s="3">
        <f t="shared" si="0"/>
        <v>927.38680413496616</v>
      </c>
      <c r="C47" s="3">
        <f t="shared" si="1"/>
        <v>1342.4864817543844</v>
      </c>
      <c r="D47" s="3">
        <f t="shared" si="2"/>
        <v>47730.126714110622</v>
      </c>
      <c r="E47" s="3">
        <f t="shared" si="3"/>
        <v>-12.450042479085932</v>
      </c>
      <c r="F47" s="3">
        <f t="shared" si="4"/>
        <v>-155.36076774021211</v>
      </c>
      <c r="G47" s="3">
        <f t="shared" si="5"/>
        <v>167.81081021929805</v>
      </c>
    </row>
    <row r="48" spans="1:7" x14ac:dyDescent="0.25">
      <c r="A48" s="3">
        <v>40</v>
      </c>
      <c r="B48" s="3">
        <f t="shared" si="0"/>
        <v>914.93676165588022</v>
      </c>
      <c r="C48" s="3">
        <f t="shared" si="1"/>
        <v>1187.1257140141722</v>
      </c>
      <c r="D48" s="3">
        <f t="shared" si="2"/>
        <v>47897.937524329922</v>
      </c>
      <c r="E48" s="3">
        <f t="shared" si="3"/>
        <v>-10.861449564585513</v>
      </c>
      <c r="F48" s="3">
        <f t="shared" si="4"/>
        <v>-137.52926468718601</v>
      </c>
      <c r="G48" s="3">
        <f t="shared" si="5"/>
        <v>148.39071425177153</v>
      </c>
    </row>
    <row r="49" spans="1:7" x14ac:dyDescent="0.25">
      <c r="A49" s="3">
        <v>41</v>
      </c>
      <c r="B49" s="3">
        <f t="shared" si="0"/>
        <v>904.07531209129468</v>
      </c>
      <c r="C49" s="3">
        <f t="shared" si="1"/>
        <v>1049.5964493269862</v>
      </c>
      <c r="D49" s="3">
        <f t="shared" si="2"/>
        <v>48046.328238581693</v>
      </c>
      <c r="E49" s="3">
        <f t="shared" si="3"/>
        <v>-9.4891423749520971</v>
      </c>
      <c r="F49" s="3">
        <f t="shared" si="4"/>
        <v>-121.71041379092118</v>
      </c>
      <c r="G49" s="3">
        <f t="shared" si="5"/>
        <v>131.19955616587328</v>
      </c>
    </row>
    <row r="50" spans="1:7" x14ac:dyDescent="0.25">
      <c r="A50" s="3">
        <v>42</v>
      </c>
      <c r="B50" s="3">
        <f t="shared" si="0"/>
        <v>894.58616971634262</v>
      </c>
      <c r="C50" s="3">
        <f t="shared" si="1"/>
        <v>927.88603553606504</v>
      </c>
      <c r="D50" s="3">
        <f t="shared" si="2"/>
        <v>48177.52779474757</v>
      </c>
      <c r="E50" s="3">
        <f t="shared" si="3"/>
        <v>-8.3007401446349061</v>
      </c>
      <c r="F50" s="3">
        <f t="shared" si="4"/>
        <v>-107.68501429737323</v>
      </c>
      <c r="G50" s="3">
        <f t="shared" si="5"/>
        <v>115.98575444200813</v>
      </c>
    </row>
    <row r="51" spans="1:7" x14ac:dyDescent="0.25">
      <c r="A51" s="3">
        <v>43</v>
      </c>
      <c r="B51" s="3">
        <f t="shared" si="0"/>
        <v>886.28542957170771</v>
      </c>
      <c r="C51" s="3">
        <f t="shared" si="1"/>
        <v>820.20102123869185</v>
      </c>
      <c r="D51" s="3">
        <f t="shared" si="2"/>
        <v>48293.513549189578</v>
      </c>
      <c r="E51" s="3">
        <f t="shared" si="3"/>
        <v>-7.2693221444368739</v>
      </c>
      <c r="F51" s="3">
        <f t="shared" si="4"/>
        <v>-95.255805510399611</v>
      </c>
      <c r="G51" s="3">
        <f t="shared" si="5"/>
        <v>102.52512765483648</v>
      </c>
    </row>
    <row r="52" spans="1:7" x14ac:dyDescent="0.25">
      <c r="A52" s="3">
        <v>44</v>
      </c>
      <c r="B52" s="3">
        <f t="shared" si="0"/>
        <v>879.01610742727087</v>
      </c>
      <c r="C52" s="3">
        <f t="shared" si="1"/>
        <v>724.94521572829228</v>
      </c>
      <c r="D52" s="3">
        <f t="shared" si="2"/>
        <v>48396.038676844415</v>
      </c>
      <c r="E52" s="3">
        <f t="shared" si="3"/>
        <v>-6.3723852162750667</v>
      </c>
      <c r="F52" s="3">
        <f t="shared" si="4"/>
        <v>-84.245766749761472</v>
      </c>
      <c r="G52" s="3">
        <f t="shared" si="5"/>
        <v>90.618151966036535</v>
      </c>
    </row>
    <row r="53" spans="1:7" x14ac:dyDescent="0.25">
      <c r="A53" s="3">
        <v>45</v>
      </c>
      <c r="B53" s="3">
        <f t="shared" si="0"/>
        <v>872.64372221099575</v>
      </c>
      <c r="C53" s="3">
        <f t="shared" si="1"/>
        <v>640.69944897853077</v>
      </c>
      <c r="D53" s="3">
        <f t="shared" si="2"/>
        <v>48486.656828810454</v>
      </c>
      <c r="E53" s="3">
        <f t="shared" si="3"/>
        <v>-5.5910235197515918</v>
      </c>
      <c r="F53" s="3">
        <f t="shared" si="4"/>
        <v>-74.496407602564759</v>
      </c>
      <c r="G53" s="3">
        <f t="shared" si="5"/>
        <v>80.087431122316346</v>
      </c>
    </row>
    <row r="54" spans="1:7" x14ac:dyDescent="0.25">
      <c r="A54" s="3">
        <v>46</v>
      </c>
      <c r="B54" s="3">
        <f t="shared" si="0"/>
        <v>867.05269869124413</v>
      </c>
      <c r="C54" s="3">
        <f t="shared" si="1"/>
        <v>566.203041375966</v>
      </c>
      <c r="D54" s="3">
        <f t="shared" si="2"/>
        <v>48566.74425993277</v>
      </c>
      <c r="E54" s="3">
        <f t="shared" si="3"/>
        <v>-4.9092787503222155</v>
      </c>
      <c r="F54" s="3">
        <f t="shared" si="4"/>
        <v>-65.866101421673534</v>
      </c>
      <c r="G54" s="3">
        <f t="shared" si="5"/>
        <v>70.775380171995749</v>
      </c>
    </row>
    <row r="55" spans="1:7" x14ac:dyDescent="0.25">
      <c r="A55" s="3">
        <v>47</v>
      </c>
      <c r="B55" s="3">
        <f t="shared" si="0"/>
        <v>862.14341994092194</v>
      </c>
      <c r="C55" s="3">
        <f t="shared" si="1"/>
        <v>500.33693995429246</v>
      </c>
      <c r="D55" s="3">
        <f t="shared" si="2"/>
        <v>48637.519640104765</v>
      </c>
      <c r="E55" s="3">
        <f t="shared" si="3"/>
        <v>-4.3136220053496945</v>
      </c>
      <c r="F55" s="3">
        <f t="shared" si="4"/>
        <v>-58.228495488936865</v>
      </c>
      <c r="G55" s="3">
        <f t="shared" si="5"/>
        <v>62.542117494286558</v>
      </c>
    </row>
    <row r="56" spans="1:7" x14ac:dyDescent="0.25">
      <c r="A56" s="3">
        <v>48</v>
      </c>
      <c r="B56" s="3">
        <f t="shared" si="0"/>
        <v>857.82979793557229</v>
      </c>
      <c r="C56" s="3">
        <f t="shared" si="1"/>
        <v>442.1084444653556</v>
      </c>
      <c r="D56" s="3">
        <f t="shared" si="2"/>
        <v>48700.061757599055</v>
      </c>
      <c r="E56" s="3">
        <f t="shared" si="3"/>
        <v>-3.792537975813262</v>
      </c>
      <c r="F56" s="3">
        <f t="shared" si="4"/>
        <v>-51.47101758235619</v>
      </c>
      <c r="G56" s="3">
        <f t="shared" si="5"/>
        <v>55.26355555816945</v>
      </c>
    </row>
    <row r="57" spans="1:7" x14ac:dyDescent="0.25">
      <c r="A57" s="3">
        <v>49</v>
      </c>
      <c r="B57" s="3">
        <f t="shared" si="0"/>
        <v>854.03725995975901</v>
      </c>
      <c r="C57" s="3">
        <f t="shared" si="1"/>
        <v>390.63742688299942</v>
      </c>
      <c r="D57" s="3">
        <f t="shared" si="2"/>
        <v>48755.325313157227</v>
      </c>
      <c r="E57" s="3">
        <f t="shared" si="3"/>
        <v>-3.3361891769288756</v>
      </c>
      <c r="F57" s="3">
        <f t="shared" si="4"/>
        <v>-45.493489183446052</v>
      </c>
      <c r="G57" s="3">
        <f t="shared" si="5"/>
        <v>48.829678360374928</v>
      </c>
    </row>
    <row r="58" spans="1:7" x14ac:dyDescent="0.25">
      <c r="A58" s="3">
        <v>50</v>
      </c>
      <c r="B58" s="3">
        <f t="shared" si="0"/>
        <v>850.70107078283013</v>
      </c>
      <c r="C58" s="3">
        <f t="shared" si="1"/>
        <v>345.14393769955336</v>
      </c>
      <c r="D58" s="3">
        <f t="shared" si="2"/>
        <v>48804.1549915176</v>
      </c>
      <c r="E58" s="3">
        <f t="shared" si="3"/>
        <v>-2.9361431737521246</v>
      </c>
      <c r="F58" s="3">
        <f t="shared" si="4"/>
        <v>-40.206849038692049</v>
      </c>
      <c r="G58" s="3">
        <f t="shared" si="5"/>
        <v>43.14299221244417</v>
      </c>
    </row>
    <row r="59" spans="1:7" x14ac:dyDescent="0.25">
      <c r="A59" s="3">
        <v>51</v>
      </c>
      <c r="B59" s="3">
        <f t="shared" si="0"/>
        <v>847.76492760907797</v>
      </c>
      <c r="C59" s="3">
        <f t="shared" si="1"/>
        <v>304.93708866086132</v>
      </c>
      <c r="D59" s="3">
        <f t="shared" si="2"/>
        <v>48847.297983730045</v>
      </c>
      <c r="E59" s="3">
        <f t="shared" si="3"/>
        <v>-2.5851496889389813</v>
      </c>
      <c r="F59" s="3">
        <f t="shared" si="4"/>
        <v>-35.531986393668682</v>
      </c>
      <c r="G59" s="3">
        <f t="shared" si="5"/>
        <v>38.117136082607665</v>
      </c>
    </row>
    <row r="60" spans="1:7" x14ac:dyDescent="0.25">
      <c r="A60" s="3">
        <v>52</v>
      </c>
      <c r="B60" s="3">
        <f t="shared" si="0"/>
        <v>845.17977792013903</v>
      </c>
      <c r="C60" s="3">
        <f t="shared" si="1"/>
        <v>269.40510226719266</v>
      </c>
      <c r="D60" s="3">
        <f t="shared" si="2"/>
        <v>48885.415119812649</v>
      </c>
      <c r="E60" s="3">
        <f t="shared" si="3"/>
        <v>-2.2769574450473828</v>
      </c>
      <c r="F60" s="3">
        <f t="shared" si="4"/>
        <v>-31.398680338351699</v>
      </c>
      <c r="G60" s="3">
        <f t="shared" si="5"/>
        <v>33.675637783399083</v>
      </c>
    </row>
    <row r="61" spans="1:7" x14ac:dyDescent="0.25">
      <c r="A61" s="3">
        <v>53</v>
      </c>
      <c r="B61" s="3">
        <f t="shared" si="0"/>
        <v>842.90282047509163</v>
      </c>
      <c r="C61" s="3">
        <f t="shared" si="1"/>
        <v>238.00642192884095</v>
      </c>
      <c r="D61" s="3">
        <f t="shared" si="2"/>
        <v>48919.090757596052</v>
      </c>
      <c r="E61" s="3">
        <f t="shared" si="3"/>
        <v>-2.0061628433500478</v>
      </c>
      <c r="F61" s="3">
        <f t="shared" si="4"/>
        <v>-27.744639897755071</v>
      </c>
      <c r="G61" s="3">
        <f t="shared" si="5"/>
        <v>29.750802741105119</v>
      </c>
    </row>
    <row r="62" spans="1:7" x14ac:dyDescent="0.25">
      <c r="A62" s="3">
        <v>54</v>
      </c>
      <c r="B62" s="3">
        <f t="shared" si="0"/>
        <v>840.89665763174162</v>
      </c>
      <c r="C62" s="3">
        <f t="shared" si="1"/>
        <v>210.26178203108589</v>
      </c>
      <c r="D62" s="3">
        <f t="shared" si="2"/>
        <v>48948.841560337154</v>
      </c>
      <c r="E62" s="3">
        <f t="shared" si="3"/>
        <v>-1.7680842973763391</v>
      </c>
      <c r="F62" s="3">
        <f t="shared" si="4"/>
        <v>-24.514638456509395</v>
      </c>
      <c r="G62" s="3">
        <f t="shared" si="5"/>
        <v>26.282722753885736</v>
      </c>
    </row>
    <row r="63" spans="1:7" x14ac:dyDescent="0.25">
      <c r="A63" s="3">
        <v>55</v>
      </c>
      <c r="B63" s="3">
        <f t="shared" si="0"/>
        <v>839.12857333436523</v>
      </c>
      <c r="C63" s="3">
        <f t="shared" si="1"/>
        <v>185.74714357457648</v>
      </c>
      <c r="D63" s="3">
        <f t="shared" si="2"/>
        <v>48975.124283091041</v>
      </c>
      <c r="E63" s="3">
        <f t="shared" si="3"/>
        <v>-1.558657355886679</v>
      </c>
      <c r="F63" s="3">
        <f t="shared" si="4"/>
        <v>-21.65973559093538</v>
      </c>
      <c r="G63" s="3">
        <f t="shared" si="5"/>
        <v>23.21839294682206</v>
      </c>
    </row>
    <row r="64" spans="1:7" x14ac:dyDescent="0.25">
      <c r="A64" s="3">
        <v>56</v>
      </c>
      <c r="B64" s="3">
        <f t="shared" si="0"/>
        <v>837.56991597847855</v>
      </c>
      <c r="C64" s="3">
        <f t="shared" si="1"/>
        <v>164.0874079836411</v>
      </c>
      <c r="D64" s="3">
        <f t="shared" si="2"/>
        <v>48998.342676037864</v>
      </c>
      <c r="E64" s="3">
        <f t="shared" si="3"/>
        <v>-1.3743467651798462</v>
      </c>
      <c r="F64" s="3">
        <f t="shared" si="4"/>
        <v>-19.13657923277529</v>
      </c>
      <c r="G64" s="3">
        <f t="shared" si="5"/>
        <v>20.510925997955137</v>
      </c>
    </row>
    <row r="65" spans="1:7" x14ac:dyDescent="0.25">
      <c r="A65" s="3">
        <v>57</v>
      </c>
      <c r="B65" s="3">
        <f t="shared" si="0"/>
        <v>836.19556921329865</v>
      </c>
      <c r="C65" s="3">
        <f t="shared" si="1"/>
        <v>144.95082875086581</v>
      </c>
      <c r="D65" s="3">
        <f t="shared" si="2"/>
        <v>49018.853602035822</v>
      </c>
      <c r="E65" s="3">
        <f t="shared" si="3"/>
        <v>-1.2120724075526963</v>
      </c>
      <c r="F65" s="3">
        <f t="shared" si="4"/>
        <v>-16.90678118630553</v>
      </c>
      <c r="G65" s="3">
        <f t="shared" si="5"/>
        <v>18.118853593858226</v>
      </c>
    </row>
    <row r="66" spans="1:7" x14ac:dyDescent="0.25">
      <c r="A66" s="3">
        <v>58</v>
      </c>
      <c r="B66" s="3">
        <f t="shared" si="0"/>
        <v>834.98349680574597</v>
      </c>
      <c r="C66" s="3">
        <f t="shared" si="1"/>
        <v>128.04404756456029</v>
      </c>
      <c r="D66" s="3">
        <f t="shared" si="2"/>
        <v>49036.972455629679</v>
      </c>
      <c r="E66" s="3">
        <f t="shared" si="3"/>
        <v>-1.0691466658061783</v>
      </c>
      <c r="F66" s="3">
        <f t="shared" si="4"/>
        <v>-14.936359279763858</v>
      </c>
      <c r="G66" s="3">
        <f t="shared" si="5"/>
        <v>16.005505945570036</v>
      </c>
    </row>
    <row r="67" spans="1:7" x14ac:dyDescent="0.25">
      <c r="A67" s="3">
        <v>59</v>
      </c>
      <c r="B67" s="3">
        <f t="shared" si="0"/>
        <v>833.91435013993976</v>
      </c>
      <c r="C67" s="3">
        <f t="shared" si="1"/>
        <v>113.10768828479642</v>
      </c>
      <c r="D67" s="3">
        <f t="shared" si="2"/>
        <v>49052.977961575249</v>
      </c>
      <c r="E67" s="3">
        <f t="shared" si="3"/>
        <v>-0.94322124371846894</v>
      </c>
      <c r="F67" s="3">
        <f t="shared" si="4"/>
        <v>-13.195239791881084</v>
      </c>
      <c r="G67" s="3">
        <f t="shared" si="5"/>
        <v>14.138461035599553</v>
      </c>
    </row>
    <row r="68" spans="1:7" x14ac:dyDescent="0.25">
      <c r="A68" s="3">
        <v>60</v>
      </c>
      <c r="B68" s="3">
        <f t="shared" si="0"/>
        <v>832.97112889622133</v>
      </c>
      <c r="C68" s="3">
        <f t="shared" si="1"/>
        <v>99.912448492915345</v>
      </c>
      <c r="D68" s="3">
        <f t="shared" si="2"/>
        <v>49067.116422610845</v>
      </c>
      <c r="E68" s="3">
        <f t="shared" si="3"/>
        <v>-0.83224185011929264</v>
      </c>
      <c r="F68" s="3">
        <f t="shared" si="4"/>
        <v>-11.656814211495126</v>
      </c>
      <c r="G68" s="3">
        <f t="shared" si="5"/>
        <v>12.489056061614418</v>
      </c>
    </row>
    <row r="69" spans="1:7" x14ac:dyDescent="0.25">
      <c r="A69" s="3">
        <v>61</v>
      </c>
      <c r="B69" s="3">
        <f t="shared" si="0"/>
        <v>832.13888704610201</v>
      </c>
      <c r="C69" s="3">
        <f t="shared" si="1"/>
        <v>88.255634281420214</v>
      </c>
      <c r="D69" s="3">
        <f t="shared" si="2"/>
        <v>49079.605478672456</v>
      </c>
      <c r="E69" s="3">
        <f t="shared" si="3"/>
        <v>-0.73440945286488823</v>
      </c>
      <c r="F69" s="3">
        <f t="shared" si="4"/>
        <v>-10.297544832312639</v>
      </c>
      <c r="G69" s="3">
        <f t="shared" si="5"/>
        <v>11.031954285177527</v>
      </c>
    </row>
    <row r="70" spans="1:7" x14ac:dyDescent="0.25">
      <c r="A70" s="3">
        <v>62</v>
      </c>
      <c r="B70" s="3">
        <f t="shared" si="0"/>
        <v>831.40447759323717</v>
      </c>
      <c r="C70" s="3">
        <f t="shared" si="1"/>
        <v>77.958089449107575</v>
      </c>
      <c r="D70" s="3">
        <f t="shared" si="2"/>
        <v>49090.637432957636</v>
      </c>
      <c r="E70" s="3">
        <f t="shared" si="3"/>
        <v>-0.64814704632602138</v>
      </c>
      <c r="F70" s="3">
        <f t="shared" si="4"/>
        <v>-9.096614134812425</v>
      </c>
      <c r="G70" s="3">
        <f t="shared" si="5"/>
        <v>9.7447611811384469</v>
      </c>
    </row>
    <row r="71" spans="1:7" x14ac:dyDescent="0.25">
      <c r="A71" s="3">
        <v>63</v>
      </c>
      <c r="B71" s="3">
        <f t="shared" si="0"/>
        <v>830.75633054691116</v>
      </c>
      <c r="C71" s="3">
        <f t="shared" si="1"/>
        <v>68.861475314295149</v>
      </c>
      <c r="D71" s="3">
        <f t="shared" si="2"/>
        <v>49100.382194138772</v>
      </c>
      <c r="E71" s="3">
        <f t="shared" si="3"/>
        <v>-0.57207106548150544</v>
      </c>
      <c r="F71" s="3">
        <f t="shared" si="4"/>
        <v>-8.0356133488053878</v>
      </c>
      <c r="G71" s="3">
        <f t="shared" si="5"/>
        <v>8.6076844142868936</v>
      </c>
    </row>
    <row r="72" spans="1:7" x14ac:dyDescent="0.25">
      <c r="A72" s="3">
        <v>64</v>
      </c>
      <c r="B72" s="3">
        <f t="shared" si="0"/>
        <v>830.18425948142965</v>
      </c>
      <c r="C72" s="3">
        <f t="shared" si="1"/>
        <v>60.825861965489764</v>
      </c>
      <c r="D72" s="3">
        <f t="shared" si="2"/>
        <v>49108.98987855306</v>
      </c>
      <c r="E72" s="3">
        <f t="shared" si="3"/>
        <v>-0.50496673173139783</v>
      </c>
      <c r="F72" s="3">
        <f t="shared" si="4"/>
        <v>-7.0982660139548228</v>
      </c>
      <c r="G72" s="3">
        <f t="shared" si="5"/>
        <v>7.6032327456862205</v>
      </c>
    </row>
    <row r="73" spans="1:7" x14ac:dyDescent="0.25">
      <c r="A73" s="3">
        <v>65</v>
      </c>
      <c r="B73" s="3">
        <f t="shared" si="0"/>
        <v>829.67929274969822</v>
      </c>
      <c r="C73" s="3">
        <f t="shared" si="1"/>
        <v>53.727595951534944</v>
      </c>
      <c r="D73" s="3">
        <f t="shared" si="2"/>
        <v>49116.593111298745</v>
      </c>
      <c r="E73" s="3">
        <f t="shared" si="3"/>
        <v>-0.44576673810211065</v>
      </c>
      <c r="F73" s="3">
        <f t="shared" si="4"/>
        <v>-6.2701827558397571</v>
      </c>
      <c r="G73" s="3">
        <f t="shared" si="5"/>
        <v>6.715949493941868</v>
      </c>
    </row>
    <row r="74" spans="1:7" x14ac:dyDescent="0.25">
      <c r="A74" s="3">
        <v>66</v>
      </c>
      <c r="B74" s="3">
        <f t="shared" ref="B74:B137" si="6">B73+E73*1</f>
        <v>829.23352601159615</v>
      </c>
      <c r="C74" s="3">
        <f t="shared" ref="C74:C137" si="7">C73+F73*1</f>
        <v>47.457413195695189</v>
      </c>
      <c r="D74" s="3">
        <f t="shared" ref="D74:D137" si="8">D73+G73*1</f>
        <v>49123.309060792686</v>
      </c>
      <c r="E74" s="3">
        <f t="shared" ref="E74:E137" si="9">-0.00001*B74*C74</f>
        <v>-0.39353278079655574</v>
      </c>
      <c r="F74" s="3">
        <f t="shared" ref="F74:F137" si="10">0.00001*B74*C74-(1/8)*C74</f>
        <v>-5.5386438686653428</v>
      </c>
      <c r="G74" s="3">
        <f t="shared" ref="G74:G137" si="11">(1/8)*C74</f>
        <v>5.9321766494618986</v>
      </c>
    </row>
    <row r="75" spans="1:7" x14ac:dyDescent="0.25">
      <c r="A75" s="3">
        <v>67</v>
      </c>
      <c r="B75" s="3">
        <f t="shared" si="6"/>
        <v>828.83999323079956</v>
      </c>
      <c r="C75" s="3">
        <f t="shared" si="7"/>
        <v>41.91876932702985</v>
      </c>
      <c r="D75" s="3">
        <f t="shared" si="8"/>
        <v>49129.241237442147</v>
      </c>
      <c r="E75" s="3">
        <f t="shared" si="9"/>
        <v>-0.34743952485258872</v>
      </c>
      <c r="F75" s="3">
        <f t="shared" si="10"/>
        <v>-4.8924066410261426</v>
      </c>
      <c r="G75" s="3">
        <f t="shared" si="11"/>
        <v>5.2398461658787312</v>
      </c>
    </row>
    <row r="76" spans="1:7" x14ac:dyDescent="0.25">
      <c r="A76" s="3">
        <v>68</v>
      </c>
      <c r="B76" s="3">
        <f t="shared" si="6"/>
        <v>828.49255370594699</v>
      </c>
      <c r="C76" s="3">
        <f t="shared" si="7"/>
        <v>37.026362686003708</v>
      </c>
      <c r="D76" s="3">
        <f t="shared" si="8"/>
        <v>49134.481083608029</v>
      </c>
      <c r="E76" s="3">
        <f t="shared" si="9"/>
        <v>-0.30676065776169797</v>
      </c>
      <c r="F76" s="3">
        <f t="shared" si="10"/>
        <v>-4.3215346779887653</v>
      </c>
      <c r="G76" s="3">
        <f t="shared" si="11"/>
        <v>4.6282953357504635</v>
      </c>
    </row>
    <row r="77" spans="1:7" x14ac:dyDescent="0.25">
      <c r="A77" s="3">
        <v>69</v>
      </c>
      <c r="B77" s="3">
        <f t="shared" si="6"/>
        <v>828.18579304818525</v>
      </c>
      <c r="C77" s="3">
        <f t="shared" si="7"/>
        <v>32.704828008014942</v>
      </c>
      <c r="D77" s="3">
        <f t="shared" si="8"/>
        <v>49139.10937894378</v>
      </c>
      <c r="E77" s="3">
        <f t="shared" si="9"/>
        <v>-0.27085673920322356</v>
      </c>
      <c r="F77" s="3">
        <f t="shared" si="10"/>
        <v>-3.8172467617986441</v>
      </c>
      <c r="G77" s="3">
        <f t="shared" si="11"/>
        <v>4.0881035010018678</v>
      </c>
    </row>
    <row r="78" spans="1:7" x14ac:dyDescent="0.25">
      <c r="A78" s="3">
        <v>70</v>
      </c>
      <c r="B78" s="3">
        <f t="shared" si="6"/>
        <v>827.91493630898208</v>
      </c>
      <c r="C78" s="3">
        <f t="shared" si="7"/>
        <v>28.8875812462163</v>
      </c>
      <c r="D78" s="3">
        <f t="shared" si="8"/>
        <v>49143.197482444783</v>
      </c>
      <c r="E78" s="3">
        <f t="shared" si="9"/>
        <v>-0.23916459987581715</v>
      </c>
      <c r="F78" s="3">
        <f t="shared" si="10"/>
        <v>-3.3717830559012203</v>
      </c>
      <c r="G78" s="3">
        <f t="shared" si="11"/>
        <v>3.6109476557770375</v>
      </c>
    </row>
    <row r="79" spans="1:7" x14ac:dyDescent="0.25">
      <c r="A79" s="3">
        <v>71</v>
      </c>
      <c r="B79" s="3">
        <f t="shared" si="6"/>
        <v>827.67577170910624</v>
      </c>
      <c r="C79" s="3">
        <f t="shared" si="7"/>
        <v>25.515798190315081</v>
      </c>
      <c r="D79" s="3">
        <f t="shared" si="8"/>
        <v>49146.808430100558</v>
      </c>
      <c r="E79" s="3">
        <f t="shared" si="9"/>
        <v>-0.21118807957942853</v>
      </c>
      <c r="F79" s="3">
        <f t="shared" si="10"/>
        <v>-2.9782866942099568</v>
      </c>
      <c r="G79" s="3">
        <f t="shared" si="11"/>
        <v>3.1894747737893852</v>
      </c>
    </row>
    <row r="80" spans="1:7" x14ac:dyDescent="0.25">
      <c r="A80" s="3">
        <v>72</v>
      </c>
      <c r="B80" s="3">
        <f t="shared" si="6"/>
        <v>827.46458362952683</v>
      </c>
      <c r="C80" s="3">
        <f t="shared" si="7"/>
        <v>22.537511496105125</v>
      </c>
      <c r="D80" s="3">
        <f t="shared" si="8"/>
        <v>49149.997904874348</v>
      </c>
      <c r="E80" s="3">
        <f t="shared" si="9"/>
        <v>-0.18648992566170305</v>
      </c>
      <c r="F80" s="3">
        <f t="shared" si="10"/>
        <v>-2.6306990113514375</v>
      </c>
      <c r="G80" s="3">
        <f t="shared" si="11"/>
        <v>2.8171889370131407</v>
      </c>
    </row>
    <row r="81" spans="1:7" x14ac:dyDescent="0.25">
      <c r="A81" s="3">
        <v>73</v>
      </c>
      <c r="B81" s="3">
        <f t="shared" si="6"/>
        <v>827.27809370386512</v>
      </c>
      <c r="C81" s="3">
        <f t="shared" si="7"/>
        <v>19.906812484753686</v>
      </c>
      <c r="D81" s="3">
        <f t="shared" si="8"/>
        <v>49152.815093811361</v>
      </c>
      <c r="E81" s="3">
        <f t="shared" si="9"/>
        <v>-0.16468469884107334</v>
      </c>
      <c r="F81" s="3">
        <f t="shared" si="10"/>
        <v>-2.3236668617531375</v>
      </c>
      <c r="G81" s="3">
        <f t="shared" si="11"/>
        <v>2.4883515605942108</v>
      </c>
    </row>
    <row r="82" spans="1:7" x14ac:dyDescent="0.25">
      <c r="A82" s="3">
        <v>74</v>
      </c>
      <c r="B82" s="3">
        <f t="shared" si="6"/>
        <v>827.1134090050241</v>
      </c>
      <c r="C82" s="3">
        <f t="shared" si="7"/>
        <v>17.583145623000547</v>
      </c>
      <c r="D82" s="3">
        <f t="shared" si="8"/>
        <v>49155.303445371952</v>
      </c>
      <c r="E82" s="3">
        <f t="shared" si="9"/>
        <v>-0.1454325551727175</v>
      </c>
      <c r="F82" s="3">
        <f t="shared" si="10"/>
        <v>-2.0524606477023508</v>
      </c>
      <c r="G82" s="3">
        <f t="shared" si="11"/>
        <v>2.1978932028750684</v>
      </c>
    </row>
    <row r="83" spans="1:7" x14ac:dyDescent="0.25">
      <c r="A83" s="3">
        <v>75</v>
      </c>
      <c r="B83" s="3">
        <f t="shared" si="6"/>
        <v>826.96797644985134</v>
      </c>
      <c r="C83" s="3">
        <f t="shared" si="7"/>
        <v>15.530684975298197</v>
      </c>
      <c r="D83" s="3">
        <f t="shared" si="8"/>
        <v>49157.501338574824</v>
      </c>
      <c r="E83" s="3">
        <f t="shared" si="9"/>
        <v>-0.1284337912690246</v>
      </c>
      <c r="F83" s="3">
        <f t="shared" si="10"/>
        <v>-1.8129018306432501</v>
      </c>
      <c r="G83" s="3">
        <f t="shared" si="11"/>
        <v>1.9413356219122746</v>
      </c>
    </row>
    <row r="84" spans="1:7" x14ac:dyDescent="0.25">
      <c r="A84" s="3">
        <v>76</v>
      </c>
      <c r="B84" s="3">
        <f t="shared" si="6"/>
        <v>826.83954265858233</v>
      </c>
      <c r="C84" s="3">
        <f t="shared" si="7"/>
        <v>13.717783144654947</v>
      </c>
      <c r="D84" s="3">
        <f t="shared" si="8"/>
        <v>49159.44267419674</v>
      </c>
      <c r="E84" s="3">
        <f t="shared" si="9"/>
        <v>-0.11342405541616106</v>
      </c>
      <c r="F84" s="3">
        <f t="shared" si="10"/>
        <v>-1.6012988376657074</v>
      </c>
      <c r="G84" s="3">
        <f t="shared" si="11"/>
        <v>1.7147228930818683</v>
      </c>
    </row>
    <row r="85" spans="1:7" x14ac:dyDescent="0.25">
      <c r="A85" s="3">
        <v>77</v>
      </c>
      <c r="B85" s="3">
        <f t="shared" si="6"/>
        <v>826.72611860316613</v>
      </c>
      <c r="C85" s="3">
        <f t="shared" si="7"/>
        <v>12.116484306989239</v>
      </c>
      <c r="D85" s="3">
        <f t="shared" si="8"/>
        <v>49161.157397089824</v>
      </c>
      <c r="E85" s="3">
        <f t="shared" si="9"/>
        <v>-0.10017014042233388</v>
      </c>
      <c r="F85" s="3">
        <f t="shared" si="10"/>
        <v>-1.414390397951321</v>
      </c>
      <c r="G85" s="3">
        <f t="shared" si="11"/>
        <v>1.5145605383736549</v>
      </c>
    </row>
    <row r="86" spans="1:7" x14ac:dyDescent="0.25">
      <c r="A86" s="3">
        <v>78</v>
      </c>
      <c r="B86" s="3">
        <f t="shared" si="6"/>
        <v>826.62594846274385</v>
      </c>
      <c r="C86" s="3">
        <f t="shared" si="7"/>
        <v>10.702093909037918</v>
      </c>
      <c r="D86" s="3">
        <f t="shared" si="8"/>
        <v>49162.671957628198</v>
      </c>
      <c r="E86" s="3">
        <f t="shared" si="9"/>
        <v>-8.8466285280958235E-2</v>
      </c>
      <c r="F86" s="3">
        <f t="shared" si="10"/>
        <v>-1.2492954533487817</v>
      </c>
      <c r="G86" s="3">
        <f t="shared" si="11"/>
        <v>1.3377617386297398</v>
      </c>
    </row>
    <row r="87" spans="1:7" x14ac:dyDescent="0.25">
      <c r="A87" s="3">
        <v>79</v>
      </c>
      <c r="B87" s="3">
        <f t="shared" si="6"/>
        <v>826.53748217746295</v>
      </c>
      <c r="C87" s="3">
        <f t="shared" si="7"/>
        <v>9.4527984556891376</v>
      </c>
      <c r="D87" s="3">
        <f t="shared" si="8"/>
        <v>49164.009719366826</v>
      </c>
      <c r="E87" s="3">
        <f t="shared" si="9"/>
        <v>-7.8130922350963097E-2</v>
      </c>
      <c r="F87" s="3">
        <f t="shared" si="10"/>
        <v>-1.103468884610179</v>
      </c>
      <c r="G87" s="3">
        <f t="shared" si="11"/>
        <v>1.1815998069611422</v>
      </c>
    </row>
    <row r="88" spans="1:7" x14ac:dyDescent="0.25">
      <c r="A88" s="3">
        <v>80</v>
      </c>
      <c r="B88" s="3">
        <f t="shared" si="6"/>
        <v>826.45935125511198</v>
      </c>
      <c r="C88" s="3">
        <f t="shared" si="7"/>
        <v>8.3493295710789592</v>
      </c>
      <c r="D88" s="3">
        <f t="shared" si="8"/>
        <v>49165.191319173784</v>
      </c>
      <c r="E88" s="3">
        <f t="shared" si="9"/>
        <v>-6.9003815007290401E-2</v>
      </c>
      <c r="F88" s="3">
        <f t="shared" si="10"/>
        <v>-0.97466238137757955</v>
      </c>
      <c r="G88" s="3">
        <f t="shared" si="11"/>
        <v>1.0436661963848699</v>
      </c>
    </row>
    <row r="89" spans="1:7" x14ac:dyDescent="0.25">
      <c r="A89" s="3">
        <v>81</v>
      </c>
      <c r="B89" s="3">
        <f t="shared" si="6"/>
        <v>826.39034744010473</v>
      </c>
      <c r="C89" s="3">
        <f t="shared" si="7"/>
        <v>7.3746671897013796</v>
      </c>
      <c r="D89" s="3">
        <f t="shared" si="8"/>
        <v>49166.234985370167</v>
      </c>
      <c r="E89" s="3">
        <f t="shared" si="9"/>
        <v>-6.0943537811524638E-2</v>
      </c>
      <c r="F89" s="3">
        <f t="shared" si="10"/>
        <v>-0.86088986090114783</v>
      </c>
      <c r="G89" s="3">
        <f t="shared" si="11"/>
        <v>0.92183339871267245</v>
      </c>
    </row>
    <row r="90" spans="1:7" x14ac:dyDescent="0.25">
      <c r="A90" s="3">
        <v>82</v>
      </c>
      <c r="B90" s="3">
        <f t="shared" si="6"/>
        <v>826.32940390229317</v>
      </c>
      <c r="C90" s="3">
        <f t="shared" si="7"/>
        <v>6.5137773288002316</v>
      </c>
      <c r="D90" s="3">
        <f t="shared" si="8"/>
        <v>49167.156818768883</v>
      </c>
      <c r="E90" s="3">
        <f t="shared" si="9"/>
        <v>-5.3825257372597669E-2</v>
      </c>
      <c r="F90" s="3">
        <f t="shared" si="10"/>
        <v>-0.76039690872743126</v>
      </c>
      <c r="G90" s="3">
        <f t="shared" si="11"/>
        <v>0.81422216610002895</v>
      </c>
    </row>
    <row r="91" spans="1:7" x14ac:dyDescent="0.25">
      <c r="A91" s="3">
        <v>83</v>
      </c>
      <c r="B91" s="3">
        <f t="shared" si="6"/>
        <v>826.27557864492053</v>
      </c>
      <c r="C91" s="3">
        <f t="shared" si="7"/>
        <v>5.7533804200728005</v>
      </c>
      <c r="D91" s="3">
        <f t="shared" si="8"/>
        <v>49167.971040934979</v>
      </c>
      <c r="E91" s="3">
        <f t="shared" si="9"/>
        <v>-4.75387773576001E-2</v>
      </c>
      <c r="F91" s="3">
        <f t="shared" si="10"/>
        <v>-0.67163377515149991</v>
      </c>
      <c r="G91" s="3">
        <f t="shared" si="11"/>
        <v>0.71917255250910006</v>
      </c>
    </row>
    <row r="92" spans="1:7" x14ac:dyDescent="0.25">
      <c r="A92" s="3">
        <v>84</v>
      </c>
      <c r="B92" s="3">
        <f t="shared" si="6"/>
        <v>826.22803986756298</v>
      </c>
      <c r="C92" s="3">
        <f t="shared" si="7"/>
        <v>5.0817466449213002</v>
      </c>
      <c r="D92" s="3">
        <f t="shared" si="8"/>
        <v>49168.690213487491</v>
      </c>
      <c r="E92" s="3">
        <f t="shared" si="9"/>
        <v>-4.1986815695368912E-2</v>
      </c>
      <c r="F92" s="3">
        <f t="shared" si="10"/>
        <v>-0.59323151491979365</v>
      </c>
      <c r="G92" s="3">
        <f t="shared" si="11"/>
        <v>0.63521833061516253</v>
      </c>
    </row>
    <row r="93" spans="1:7" x14ac:dyDescent="0.25">
      <c r="A93" s="3">
        <v>85</v>
      </c>
      <c r="B93" s="3">
        <f t="shared" si="6"/>
        <v>826.18605305186759</v>
      </c>
      <c r="C93" s="3">
        <f t="shared" si="7"/>
        <v>4.4885151300015069</v>
      </c>
      <c r="D93" s="3">
        <f t="shared" si="8"/>
        <v>49169.325431818106</v>
      </c>
      <c r="E93" s="3">
        <f t="shared" si="9"/>
        <v>-3.7083485993195359E-2</v>
      </c>
      <c r="F93" s="3">
        <f t="shared" si="10"/>
        <v>-0.52398090525699303</v>
      </c>
      <c r="G93" s="3">
        <f t="shared" si="11"/>
        <v>0.56106439125018837</v>
      </c>
    </row>
    <row r="94" spans="1:7" x14ac:dyDescent="0.25">
      <c r="A94" s="3">
        <v>86</v>
      </c>
      <c r="B94" s="3">
        <f t="shared" si="6"/>
        <v>826.14896956587438</v>
      </c>
      <c r="C94" s="3">
        <f t="shared" si="7"/>
        <v>3.9645342247445141</v>
      </c>
      <c r="D94" s="3">
        <f t="shared" si="8"/>
        <v>49169.886496209358</v>
      </c>
      <c r="E94" s="3">
        <f t="shared" si="9"/>
        <v>-3.2752958645813235E-2</v>
      </c>
      <c r="F94" s="3">
        <f t="shared" si="10"/>
        <v>-0.46281381944725103</v>
      </c>
      <c r="G94" s="3">
        <f t="shared" si="11"/>
        <v>0.49556677809306426</v>
      </c>
    </row>
    <row r="95" spans="1:7" x14ac:dyDescent="0.25">
      <c r="A95" s="3">
        <v>87</v>
      </c>
      <c r="B95" s="3">
        <f t="shared" si="6"/>
        <v>826.11621660722858</v>
      </c>
      <c r="C95" s="3">
        <f t="shared" si="7"/>
        <v>3.501720405297263</v>
      </c>
      <c r="D95" s="3">
        <f t="shared" si="8"/>
        <v>49170.382062987454</v>
      </c>
      <c r="E95" s="3">
        <f t="shared" si="9"/>
        <v>-2.8928280128405065E-2</v>
      </c>
      <c r="F95" s="3">
        <f t="shared" si="10"/>
        <v>-0.40878677053375279</v>
      </c>
      <c r="G95" s="3">
        <f t="shared" si="11"/>
        <v>0.43771505066215788</v>
      </c>
    </row>
    <row r="96" spans="1:7" x14ac:dyDescent="0.25">
      <c r="A96" s="3">
        <v>88</v>
      </c>
      <c r="B96" s="3">
        <f t="shared" si="6"/>
        <v>826.08728832710017</v>
      </c>
      <c r="C96" s="3">
        <f t="shared" si="7"/>
        <v>3.0929336347635101</v>
      </c>
      <c r="D96" s="3">
        <f t="shared" si="8"/>
        <v>49170.819778038116</v>
      </c>
      <c r="E96" s="3">
        <f t="shared" si="9"/>
        <v>-2.5550331593174699E-2</v>
      </c>
      <c r="F96" s="3">
        <f t="shared" si="10"/>
        <v>-0.36106637275226405</v>
      </c>
      <c r="G96" s="3">
        <f t="shared" si="11"/>
        <v>0.38661670434543877</v>
      </c>
    </row>
    <row r="97" spans="1:7" x14ac:dyDescent="0.25">
      <c r="A97" s="3">
        <v>89</v>
      </c>
      <c r="B97" s="3">
        <f t="shared" si="6"/>
        <v>826.06173799550697</v>
      </c>
      <c r="C97" s="3">
        <f t="shared" si="7"/>
        <v>2.7318672620112459</v>
      </c>
      <c r="D97" s="3">
        <f t="shared" si="8"/>
        <v>49171.206394742461</v>
      </c>
      <c r="E97" s="3">
        <f t="shared" si="9"/>
        <v>-2.2566910184300369E-2</v>
      </c>
      <c r="F97" s="3">
        <f t="shared" si="10"/>
        <v>-0.31891649756710538</v>
      </c>
      <c r="G97" s="3">
        <f t="shared" si="11"/>
        <v>0.34148340775140573</v>
      </c>
    </row>
    <row r="98" spans="1:7" x14ac:dyDescent="0.25">
      <c r="A98" s="3">
        <v>90</v>
      </c>
      <c r="B98" s="3">
        <f t="shared" si="6"/>
        <v>826.03917108532266</v>
      </c>
      <c r="C98" s="3">
        <f t="shared" si="7"/>
        <v>2.4129507644441404</v>
      </c>
      <c r="D98" s="3">
        <f t="shared" si="8"/>
        <v>49171.54787815021</v>
      </c>
      <c r="E98" s="3">
        <f t="shared" si="9"/>
        <v>-1.9931918493311336E-2</v>
      </c>
      <c r="F98" s="3">
        <f t="shared" si="10"/>
        <v>-0.28168692706220622</v>
      </c>
      <c r="G98" s="3">
        <f t="shared" si="11"/>
        <v>0.30161884555551755</v>
      </c>
    </row>
    <row r="99" spans="1:7" x14ac:dyDescent="0.25">
      <c r="A99" s="3">
        <v>91</v>
      </c>
      <c r="B99" s="3">
        <f t="shared" si="6"/>
        <v>826.01923916682938</v>
      </c>
      <c r="C99" s="3">
        <f t="shared" si="7"/>
        <v>2.1312638373819341</v>
      </c>
      <c r="D99" s="3">
        <f t="shared" si="8"/>
        <v>49171.849496995768</v>
      </c>
      <c r="E99" s="3">
        <f t="shared" si="9"/>
        <v>-1.7604649334180027E-2</v>
      </c>
      <c r="F99" s="3">
        <f t="shared" si="10"/>
        <v>-0.24880333033856175</v>
      </c>
      <c r="G99" s="3">
        <f t="shared" si="11"/>
        <v>0.26640797967274177</v>
      </c>
    </row>
    <row r="100" spans="1:7" x14ac:dyDescent="0.25">
      <c r="A100" s="3">
        <v>92</v>
      </c>
      <c r="B100" s="3">
        <f t="shared" si="6"/>
        <v>826.00163451749518</v>
      </c>
      <c r="C100" s="3">
        <f t="shared" si="7"/>
        <v>1.8824605070433724</v>
      </c>
      <c r="D100" s="3">
        <f t="shared" si="8"/>
        <v>49172.115904975442</v>
      </c>
      <c r="E100" s="3">
        <f t="shared" si="9"/>
        <v>-1.5549154557324587E-2</v>
      </c>
      <c r="F100" s="3">
        <f t="shared" si="10"/>
        <v>-0.21975840882309697</v>
      </c>
      <c r="G100" s="3">
        <f t="shared" si="11"/>
        <v>0.23530756338042155</v>
      </c>
    </row>
    <row r="101" spans="1:7" x14ac:dyDescent="0.25">
      <c r="A101" s="3">
        <v>93</v>
      </c>
      <c r="B101" s="3">
        <f t="shared" si="6"/>
        <v>825.98608536293784</v>
      </c>
      <c r="C101" s="3">
        <f t="shared" si="7"/>
        <v>1.6627020982202754</v>
      </c>
      <c r="D101" s="3">
        <f t="shared" si="8"/>
        <v>49172.351212538822</v>
      </c>
      <c r="E101" s="3">
        <f t="shared" si="9"/>
        <v>-1.3733687972337085E-2</v>
      </c>
      <c r="F101" s="3">
        <f t="shared" si="10"/>
        <v>-0.19410407430519733</v>
      </c>
      <c r="G101" s="3">
        <f t="shared" si="11"/>
        <v>0.20783776227753442</v>
      </c>
    </row>
    <row r="102" spans="1:7" x14ac:dyDescent="0.25">
      <c r="A102" s="3">
        <v>94</v>
      </c>
      <c r="B102" s="3">
        <f t="shared" si="6"/>
        <v>825.97235167496547</v>
      </c>
      <c r="C102" s="3">
        <f t="shared" si="7"/>
        <v>1.468598023915078</v>
      </c>
      <c r="D102" s="3">
        <f t="shared" si="8"/>
        <v>49172.559050301097</v>
      </c>
      <c r="E102" s="3">
        <f t="shared" si="9"/>
        <v>-1.2130213634783442E-2</v>
      </c>
      <c r="F102" s="3">
        <f t="shared" si="10"/>
        <v>-0.1714445393546013</v>
      </c>
      <c r="G102" s="3">
        <f t="shared" si="11"/>
        <v>0.18357475298938475</v>
      </c>
    </row>
    <row r="103" spans="1:7" x14ac:dyDescent="0.25">
      <c r="A103" s="3">
        <v>95</v>
      </c>
      <c r="B103" s="3">
        <f t="shared" si="6"/>
        <v>825.96022146133066</v>
      </c>
      <c r="C103" s="3">
        <f t="shared" si="7"/>
        <v>1.2971534845604766</v>
      </c>
      <c r="D103" s="3">
        <f t="shared" si="8"/>
        <v>49172.742625054088</v>
      </c>
      <c r="E103" s="3">
        <f t="shared" si="9"/>
        <v>-1.0713971793769081E-2</v>
      </c>
      <c r="F103" s="3">
        <f t="shared" si="10"/>
        <v>-0.15143021377629051</v>
      </c>
      <c r="G103" s="3">
        <f t="shared" si="11"/>
        <v>0.16214418557005958</v>
      </c>
    </row>
    <row r="104" spans="1:7" x14ac:dyDescent="0.25">
      <c r="A104" s="3">
        <v>96</v>
      </c>
      <c r="B104" s="3">
        <f t="shared" si="6"/>
        <v>825.94950748953693</v>
      </c>
      <c r="C104" s="3">
        <f t="shared" si="7"/>
        <v>1.145723270784186</v>
      </c>
      <c r="D104" s="3">
        <f t="shared" si="8"/>
        <v>49172.904769239656</v>
      </c>
      <c r="E104" s="3">
        <f t="shared" si="9"/>
        <v>-9.4630957122349979E-3</v>
      </c>
      <c r="F104" s="3">
        <f t="shared" si="10"/>
        <v>-0.13375231313578825</v>
      </c>
      <c r="G104" s="3">
        <f t="shared" si="11"/>
        <v>0.14321540884802325</v>
      </c>
    </row>
    <row r="105" spans="1:7" x14ac:dyDescent="0.25">
      <c r="A105" s="3">
        <v>97</v>
      </c>
      <c r="B105" s="3">
        <f t="shared" si="6"/>
        <v>825.94004439382468</v>
      </c>
      <c r="C105" s="3">
        <f t="shared" si="7"/>
        <v>1.0119709576483977</v>
      </c>
      <c r="D105" s="3">
        <f t="shared" si="8"/>
        <v>49173.047984648503</v>
      </c>
      <c r="E105" s="3">
        <f t="shared" si="9"/>
        <v>-8.3582733768537889E-3</v>
      </c>
      <c r="F105" s="3">
        <f t="shared" si="10"/>
        <v>-0.11813809632919593</v>
      </c>
      <c r="G105" s="3">
        <f t="shared" si="11"/>
        <v>0.12649636970604972</v>
      </c>
    </row>
    <row r="106" spans="1:7" x14ac:dyDescent="0.25">
      <c r="A106" s="3">
        <v>98</v>
      </c>
      <c r="B106" s="3">
        <f t="shared" si="6"/>
        <v>825.93168612044781</v>
      </c>
      <c r="C106" s="3">
        <f t="shared" si="7"/>
        <v>0.89383286131920181</v>
      </c>
      <c r="D106" s="3">
        <f t="shared" si="8"/>
        <v>49173.174481018206</v>
      </c>
      <c r="E106" s="3">
        <f t="shared" si="9"/>
        <v>-7.3824488225923274E-3</v>
      </c>
      <c r="F106" s="3">
        <f t="shared" si="10"/>
        <v>-0.1043466588423079</v>
      </c>
      <c r="G106" s="3">
        <f t="shared" si="11"/>
        <v>0.11172910766490023</v>
      </c>
    </row>
    <row r="107" spans="1:7" x14ac:dyDescent="0.25">
      <c r="A107" s="3">
        <v>99</v>
      </c>
      <c r="B107" s="3">
        <f t="shared" si="6"/>
        <v>825.92430367162524</v>
      </c>
      <c r="C107" s="3">
        <f t="shared" si="7"/>
        <v>0.78948620247689394</v>
      </c>
      <c r="D107" s="3">
        <f t="shared" si="8"/>
        <v>49173.286210125872</v>
      </c>
      <c r="E107" s="3">
        <f t="shared" si="9"/>
        <v>-6.5205584203908437E-3</v>
      </c>
      <c r="F107" s="3">
        <f t="shared" si="10"/>
        <v>-9.2165216889220899E-2</v>
      </c>
      <c r="G107" s="3">
        <f t="shared" si="11"/>
        <v>9.8685775309611742E-2</v>
      </c>
    </row>
    <row r="108" spans="1:7" x14ac:dyDescent="0.25">
      <c r="A108" s="3">
        <v>100</v>
      </c>
      <c r="B108" s="3">
        <f t="shared" si="6"/>
        <v>825.91778311320491</v>
      </c>
      <c r="C108" s="3">
        <f t="shared" si="7"/>
        <v>0.69732098558767308</v>
      </c>
      <c r="D108" s="3">
        <f t="shared" si="8"/>
        <v>49173.384895901181</v>
      </c>
      <c r="E108" s="3">
        <f t="shared" si="9"/>
        <v>-5.7592980253488614E-3</v>
      </c>
      <c r="F108" s="3">
        <f t="shared" si="10"/>
        <v>-8.1405825173110277E-2</v>
      </c>
      <c r="G108" s="3">
        <f t="shared" si="11"/>
        <v>8.7165123198459135E-2</v>
      </c>
    </row>
    <row r="109" spans="1:7" x14ac:dyDescent="0.25">
      <c r="A109" s="3">
        <v>101</v>
      </c>
      <c r="B109" s="3">
        <f t="shared" si="6"/>
        <v>825.91202381517951</v>
      </c>
      <c r="C109" s="3">
        <f t="shared" si="7"/>
        <v>0.61591516041456285</v>
      </c>
      <c r="D109" s="3">
        <f t="shared" si="8"/>
        <v>49173.472061024382</v>
      </c>
      <c r="E109" s="3">
        <f t="shared" si="9"/>
        <v>-5.0869173663644256E-3</v>
      </c>
      <c r="F109" s="3">
        <f t="shared" si="10"/>
        <v>-7.1902477685455934E-2</v>
      </c>
      <c r="G109" s="3">
        <f t="shared" si="11"/>
        <v>7.6989395051820356E-2</v>
      </c>
    </row>
    <row r="110" spans="1:7" x14ac:dyDescent="0.25">
      <c r="A110" s="3">
        <v>102</v>
      </c>
      <c r="B110" s="3">
        <f t="shared" si="6"/>
        <v>825.90693689781313</v>
      </c>
      <c r="C110" s="3">
        <f t="shared" si="7"/>
        <v>0.54401268272910697</v>
      </c>
      <c r="D110" s="3">
        <f t="shared" si="8"/>
        <v>49173.549050419431</v>
      </c>
      <c r="E110" s="3">
        <f t="shared" si="9"/>
        <v>-4.4930384842635862E-3</v>
      </c>
      <c r="F110" s="3">
        <f t="shared" si="10"/>
        <v>-6.3508546856874779E-2</v>
      </c>
      <c r="G110" s="3">
        <f t="shared" si="11"/>
        <v>6.8001585341138371E-2</v>
      </c>
    </row>
    <row r="111" spans="1:7" x14ac:dyDescent="0.25">
      <c r="A111" s="3">
        <v>103</v>
      </c>
      <c r="B111" s="3">
        <f t="shared" si="6"/>
        <v>825.90244385932886</v>
      </c>
      <c r="C111" s="3">
        <f t="shared" si="7"/>
        <v>0.48050413587223217</v>
      </c>
      <c r="D111" s="3">
        <f t="shared" si="8"/>
        <v>49173.617052004774</v>
      </c>
      <c r="E111" s="3">
        <f t="shared" si="9"/>
        <v>-3.9684954010139155E-3</v>
      </c>
      <c r="F111" s="3">
        <f t="shared" si="10"/>
        <v>-5.6094521583015103E-2</v>
      </c>
      <c r="G111" s="3">
        <f t="shared" si="11"/>
        <v>6.0063016984029022E-2</v>
      </c>
    </row>
    <row r="112" spans="1:7" x14ac:dyDescent="0.25">
      <c r="A112" s="3">
        <v>104</v>
      </c>
      <c r="B112" s="3">
        <f t="shared" si="6"/>
        <v>825.89847536392779</v>
      </c>
      <c r="C112" s="3">
        <f t="shared" si="7"/>
        <v>0.42440961428921709</v>
      </c>
      <c r="D112" s="3">
        <f t="shared" si="8"/>
        <v>49173.677115021761</v>
      </c>
      <c r="E112" s="3">
        <f t="shared" si="9"/>
        <v>-3.5051925337125705E-3</v>
      </c>
      <c r="F112" s="3">
        <f t="shared" si="10"/>
        <v>-4.9546009252439564E-2</v>
      </c>
      <c r="G112" s="3">
        <f t="shared" si="11"/>
        <v>5.3051201786152136E-2</v>
      </c>
    </row>
    <row r="113" spans="1:7" x14ac:dyDescent="0.25">
      <c r="A113" s="3">
        <v>105</v>
      </c>
      <c r="B113" s="3">
        <f t="shared" si="6"/>
        <v>825.89497017139411</v>
      </c>
      <c r="C113" s="3">
        <f t="shared" si="7"/>
        <v>0.37486360503677751</v>
      </c>
      <c r="D113" s="3">
        <f t="shared" si="8"/>
        <v>49173.730166223548</v>
      </c>
      <c r="E113" s="3">
        <f t="shared" si="9"/>
        <v>-3.0959796590019064E-3</v>
      </c>
      <c r="F113" s="3">
        <f t="shared" si="10"/>
        <v>-4.3761970970595282E-2</v>
      </c>
      <c r="G113" s="3">
        <f t="shared" si="11"/>
        <v>4.6857950629597189E-2</v>
      </c>
    </row>
    <row r="114" spans="1:7" x14ac:dyDescent="0.25">
      <c r="A114" s="3">
        <v>106</v>
      </c>
      <c r="B114" s="3">
        <f t="shared" si="6"/>
        <v>825.89187419173516</v>
      </c>
      <c r="C114" s="3">
        <f t="shared" si="7"/>
        <v>0.3311016340661822</v>
      </c>
      <c r="D114" s="3">
        <f t="shared" si="8"/>
        <v>49173.777024174175</v>
      </c>
      <c r="E114" s="3">
        <f t="shared" si="9"/>
        <v>-2.7345414910686532E-3</v>
      </c>
      <c r="F114" s="3">
        <f t="shared" si="10"/>
        <v>-3.8653162767204124E-2</v>
      </c>
      <c r="G114" s="3">
        <f t="shared" si="11"/>
        <v>4.1387704258272776E-2</v>
      </c>
    </row>
    <row r="115" spans="1:7" x14ac:dyDescent="0.25">
      <c r="A115" s="3">
        <v>107</v>
      </c>
      <c r="B115" s="3">
        <f t="shared" si="6"/>
        <v>825.88913965024403</v>
      </c>
      <c r="C115" s="3">
        <f t="shared" si="7"/>
        <v>0.29244847129897811</v>
      </c>
      <c r="D115" s="3">
        <f t="shared" si="8"/>
        <v>49173.818411878434</v>
      </c>
      <c r="E115" s="3">
        <f t="shared" si="9"/>
        <v>-2.4153001635314215E-3</v>
      </c>
      <c r="F115" s="3">
        <f t="shared" si="10"/>
        <v>-3.4140758748840844E-2</v>
      </c>
      <c r="G115" s="3">
        <f t="shared" si="11"/>
        <v>3.6556058912372263E-2</v>
      </c>
    </row>
    <row r="116" spans="1:7" x14ac:dyDescent="0.25">
      <c r="A116" s="3">
        <v>108</v>
      </c>
      <c r="B116" s="3">
        <f t="shared" si="6"/>
        <v>825.8867243500805</v>
      </c>
      <c r="C116" s="3">
        <f t="shared" si="7"/>
        <v>0.25830771255013729</v>
      </c>
      <c r="D116" s="3">
        <f t="shared" si="8"/>
        <v>49173.854967937346</v>
      </c>
      <c r="E116" s="3">
        <f t="shared" si="9"/>
        <v>-2.1333291059239508E-3</v>
      </c>
      <c r="F116" s="3">
        <f t="shared" si="10"/>
        <v>-3.0155134962843212E-2</v>
      </c>
      <c r="G116" s="3">
        <f t="shared" si="11"/>
        <v>3.2288464068767161E-2</v>
      </c>
    </row>
    <row r="117" spans="1:7" x14ac:dyDescent="0.25">
      <c r="A117" s="3">
        <v>109</v>
      </c>
      <c r="B117" s="3">
        <f t="shared" si="6"/>
        <v>825.88459102097454</v>
      </c>
      <c r="C117" s="3">
        <f t="shared" si="7"/>
        <v>0.22815257758729407</v>
      </c>
      <c r="D117" s="3">
        <f t="shared" si="8"/>
        <v>49173.887256401416</v>
      </c>
      <c r="E117" s="3">
        <f t="shared" si="9"/>
        <v>-1.8842769823106357E-3</v>
      </c>
      <c r="F117" s="3">
        <f t="shared" si="10"/>
        <v>-2.6634795216101122E-2</v>
      </c>
      <c r="G117" s="3">
        <f t="shared" si="11"/>
        <v>2.8519072198411759E-2</v>
      </c>
    </row>
    <row r="118" spans="1:7" x14ac:dyDescent="0.25">
      <c r="A118" s="3">
        <v>110</v>
      </c>
      <c r="B118" s="3">
        <f t="shared" si="6"/>
        <v>825.88270674399223</v>
      </c>
      <c r="C118" s="3">
        <f t="shared" si="7"/>
        <v>0.20151778237119294</v>
      </c>
      <c r="D118" s="3">
        <f t="shared" si="8"/>
        <v>49173.915775473615</v>
      </c>
      <c r="E118" s="3">
        <f t="shared" si="9"/>
        <v>-1.664300515617676E-3</v>
      </c>
      <c r="F118" s="3">
        <f t="shared" si="10"/>
        <v>-2.352542228078144E-2</v>
      </c>
      <c r="G118" s="3">
        <f t="shared" si="11"/>
        <v>2.5189722796399118E-2</v>
      </c>
    </row>
    <row r="119" spans="1:7" x14ac:dyDescent="0.25">
      <c r="A119" s="3">
        <v>111</v>
      </c>
      <c r="B119" s="3">
        <f t="shared" si="6"/>
        <v>825.88104244347664</v>
      </c>
      <c r="C119" s="3">
        <f t="shared" si="7"/>
        <v>0.1779923600904115</v>
      </c>
      <c r="D119" s="3">
        <f t="shared" si="8"/>
        <v>49173.940965196409</v>
      </c>
      <c r="E119" s="3">
        <f t="shared" si="9"/>
        <v>-1.4700051589844373E-3</v>
      </c>
      <c r="F119" s="3">
        <f t="shared" si="10"/>
        <v>-2.0779039852317001E-2</v>
      </c>
      <c r="G119" s="3">
        <f t="shared" si="11"/>
        <v>2.2249045011301437E-2</v>
      </c>
    </row>
    <row r="120" spans="1:7" x14ac:dyDescent="0.25">
      <c r="A120" s="3">
        <v>112</v>
      </c>
      <c r="B120" s="3">
        <f t="shared" si="6"/>
        <v>825.87957243831761</v>
      </c>
      <c r="C120" s="3">
        <f t="shared" si="7"/>
        <v>0.15721332023809451</v>
      </c>
      <c r="D120" s="3">
        <f t="shared" si="8"/>
        <v>49173.963214241419</v>
      </c>
      <c r="E120" s="3">
        <f t="shared" si="9"/>
        <v>-1.2983926969984579E-3</v>
      </c>
      <c r="F120" s="3">
        <f t="shared" si="10"/>
        <v>-1.8353272332763355E-2</v>
      </c>
      <c r="G120" s="3">
        <f t="shared" si="11"/>
        <v>1.9651665029761813E-2</v>
      </c>
    </row>
    <row r="121" spans="1:7" x14ac:dyDescent="0.25">
      <c r="A121" s="3">
        <v>113</v>
      </c>
      <c r="B121" s="3">
        <f t="shared" si="6"/>
        <v>825.87827404562063</v>
      </c>
      <c r="C121" s="3">
        <f t="shared" si="7"/>
        <v>0.13886004790533116</v>
      </c>
      <c r="D121" s="3">
        <f t="shared" si="8"/>
        <v>49173.982865906451</v>
      </c>
      <c r="E121" s="3">
        <f t="shared" si="9"/>
        <v>-1.1468149669794712E-3</v>
      </c>
      <c r="F121" s="3">
        <f t="shared" si="10"/>
        <v>-1.6210691021186923E-2</v>
      </c>
      <c r="G121" s="3">
        <f t="shared" si="11"/>
        <v>1.7357505988166395E-2</v>
      </c>
    </row>
    <row r="122" spans="1:7" x14ac:dyDescent="0.25">
      <c r="A122" s="3">
        <v>114</v>
      </c>
      <c r="B122" s="3">
        <f t="shared" si="6"/>
        <v>825.87712723065363</v>
      </c>
      <c r="C122" s="3">
        <f t="shared" si="7"/>
        <v>0.12264935688414423</v>
      </c>
      <c r="D122" s="3">
        <f t="shared" si="8"/>
        <v>49174.00022341244</v>
      </c>
      <c r="E122" s="3">
        <f t="shared" si="9"/>
        <v>-1.0129329852016423E-3</v>
      </c>
      <c r="F122" s="3">
        <f t="shared" si="10"/>
        <v>-1.4318236625316387E-2</v>
      </c>
      <c r="G122" s="3">
        <f t="shared" si="11"/>
        <v>1.5331169610518029E-2</v>
      </c>
    </row>
    <row r="123" spans="1:7" x14ac:dyDescent="0.25">
      <c r="A123" s="3">
        <v>115</v>
      </c>
      <c r="B123" s="3">
        <f t="shared" si="6"/>
        <v>825.87611429766844</v>
      </c>
      <c r="C123" s="3">
        <f t="shared" si="7"/>
        <v>0.10833112025882785</v>
      </c>
      <c r="D123" s="3">
        <f t="shared" si="8"/>
        <v>49174.015554582053</v>
      </c>
      <c r="E123" s="3">
        <f t="shared" si="9"/>
        <v>-8.9468084656874178E-4</v>
      </c>
      <c r="F123" s="3">
        <f t="shared" si="10"/>
        <v>-1.2646709185784739E-2</v>
      </c>
      <c r="G123" s="3">
        <f t="shared" si="11"/>
        <v>1.3541390032353481E-2</v>
      </c>
    </row>
    <row r="124" spans="1:7" x14ac:dyDescent="0.25">
      <c r="A124" s="3">
        <v>116</v>
      </c>
      <c r="B124" s="3">
        <f t="shared" si="6"/>
        <v>825.87521961682182</v>
      </c>
      <c r="C124" s="3">
        <f t="shared" si="7"/>
        <v>9.568441107304311E-2</v>
      </c>
      <c r="D124" s="3">
        <f t="shared" si="8"/>
        <v>49174.029095972088</v>
      </c>
      <c r="E124" s="3">
        <f t="shared" si="9"/>
        <v>-7.9023384008855742E-4</v>
      </c>
      <c r="F124" s="3">
        <f t="shared" si="10"/>
        <v>-1.1170317544041831E-2</v>
      </c>
      <c r="G124" s="3">
        <f t="shared" si="11"/>
        <v>1.1960551384130389E-2</v>
      </c>
    </row>
    <row r="125" spans="1:7" x14ac:dyDescent="0.25">
      <c r="A125" s="3">
        <v>117</v>
      </c>
      <c r="B125" s="3">
        <f t="shared" si="6"/>
        <v>825.8744293829817</v>
      </c>
      <c r="C125" s="3">
        <f t="shared" si="7"/>
        <v>8.4514093529001272E-2</v>
      </c>
      <c r="D125" s="3">
        <f t="shared" si="8"/>
        <v>49174.041056523471</v>
      </c>
      <c r="E125" s="3">
        <f t="shared" si="9"/>
        <v>-6.9798028768083885E-4</v>
      </c>
      <c r="F125" s="3">
        <f t="shared" si="10"/>
        <v>-9.8662814034443207E-3</v>
      </c>
      <c r="G125" s="3">
        <f t="shared" si="11"/>
        <v>1.0564261691125159E-2</v>
      </c>
    </row>
    <row r="126" spans="1:7" x14ac:dyDescent="0.25">
      <c r="A126" s="3">
        <v>118</v>
      </c>
      <c r="B126" s="3">
        <f t="shared" si="6"/>
        <v>825.87373140269403</v>
      </c>
      <c r="C126" s="3">
        <f t="shared" si="7"/>
        <v>7.4647812125556948E-2</v>
      </c>
      <c r="D126" s="3">
        <f t="shared" si="8"/>
        <v>49174.051620785162</v>
      </c>
      <c r="E126" s="3">
        <f t="shared" si="9"/>
        <v>-6.1649667141180984E-4</v>
      </c>
      <c r="F126" s="3">
        <f t="shared" si="10"/>
        <v>-8.7144798442828093E-3</v>
      </c>
      <c r="G126" s="3">
        <f t="shared" si="11"/>
        <v>9.3309765156946185E-3</v>
      </c>
    </row>
    <row r="127" spans="1:7" x14ac:dyDescent="0.25">
      <c r="A127" s="3">
        <v>119</v>
      </c>
      <c r="B127" s="3">
        <f t="shared" si="6"/>
        <v>825.87311490602258</v>
      </c>
      <c r="C127" s="3">
        <f t="shared" si="7"/>
        <v>6.593333228127414E-2</v>
      </c>
      <c r="D127" s="3">
        <f t="shared" si="8"/>
        <v>49174.060951761676</v>
      </c>
      <c r="E127" s="3">
        <f t="shared" si="9"/>
        <v>-5.4452566507269692E-4</v>
      </c>
      <c r="F127" s="3">
        <f t="shared" si="10"/>
        <v>-7.6971408700865704E-3</v>
      </c>
      <c r="G127" s="3">
        <f t="shared" si="11"/>
        <v>8.2416665351592675E-3</v>
      </c>
    </row>
    <row r="128" spans="1:7" x14ac:dyDescent="0.25">
      <c r="A128" s="3">
        <v>120</v>
      </c>
      <c r="B128" s="3">
        <f t="shared" si="6"/>
        <v>825.8725703803575</v>
      </c>
      <c r="C128" s="3">
        <f t="shared" si="7"/>
        <v>5.823619141118757E-2</v>
      </c>
      <c r="D128" s="3">
        <f t="shared" si="8"/>
        <v>49174.069193428208</v>
      </c>
      <c r="E128" s="3">
        <f t="shared" si="9"/>
        <v>-4.8095673089919983E-4</v>
      </c>
      <c r="F128" s="3">
        <f t="shared" si="10"/>
        <v>-6.7985671954992463E-3</v>
      </c>
      <c r="G128" s="3">
        <f t="shared" si="11"/>
        <v>7.2795239263984462E-3</v>
      </c>
    </row>
    <row r="129" spans="1:7" x14ac:dyDescent="0.25">
      <c r="A129" s="3">
        <v>121</v>
      </c>
      <c r="B129" s="3">
        <f t="shared" si="6"/>
        <v>825.87208942362656</v>
      </c>
      <c r="C129" s="3">
        <f t="shared" si="7"/>
        <v>5.1437624215688323E-2</v>
      </c>
      <c r="D129" s="3">
        <f t="shared" si="8"/>
        <v>49174.076472952132</v>
      </c>
      <c r="E129" s="3">
        <f t="shared" si="9"/>
        <v>-4.2480898185997846E-4</v>
      </c>
      <c r="F129" s="3">
        <f t="shared" si="10"/>
        <v>-6.004894045101062E-3</v>
      </c>
      <c r="G129" s="3">
        <f t="shared" si="11"/>
        <v>6.4297030269610403E-3</v>
      </c>
    </row>
    <row r="130" spans="1:7" x14ac:dyDescent="0.25">
      <c r="A130" s="3">
        <v>122</v>
      </c>
      <c r="B130" s="3">
        <f t="shared" si="6"/>
        <v>825.87166461464471</v>
      </c>
      <c r="C130" s="3">
        <f t="shared" si="7"/>
        <v>4.5432730170587257E-2</v>
      </c>
      <c r="D130" s="3">
        <f t="shared" si="8"/>
        <v>49174.082902655158</v>
      </c>
      <c r="E130" s="3">
        <f t="shared" si="9"/>
        <v>-3.7521604493970896E-4</v>
      </c>
      <c r="F130" s="3">
        <f t="shared" si="10"/>
        <v>-5.3038752263836978E-3</v>
      </c>
      <c r="G130" s="3">
        <f t="shared" si="11"/>
        <v>5.6790912713234071E-3</v>
      </c>
    </row>
    <row r="131" spans="1:7" x14ac:dyDescent="0.25">
      <c r="A131" s="3">
        <v>123</v>
      </c>
      <c r="B131" s="3">
        <f t="shared" si="6"/>
        <v>825.87128939859974</v>
      </c>
      <c r="C131" s="3">
        <f t="shared" si="7"/>
        <v>4.0128854944203561E-2</v>
      </c>
      <c r="D131" s="3">
        <f t="shared" si="8"/>
        <v>49174.08858174643</v>
      </c>
      <c r="E131" s="3">
        <f t="shared" si="9"/>
        <v>-3.3141269174858772E-4</v>
      </c>
      <c r="F131" s="3">
        <f t="shared" si="10"/>
        <v>-4.6846941762768574E-3</v>
      </c>
      <c r="G131" s="3">
        <f t="shared" si="11"/>
        <v>5.0161068680254451E-3</v>
      </c>
    </row>
    <row r="132" spans="1:7" x14ac:dyDescent="0.25">
      <c r="A132" s="3">
        <v>124</v>
      </c>
      <c r="B132" s="3">
        <f t="shared" si="6"/>
        <v>825.87095798590803</v>
      </c>
      <c r="C132" s="3">
        <f t="shared" si="7"/>
        <v>3.5444160767926704E-2</v>
      </c>
      <c r="D132" s="3">
        <f t="shared" si="8"/>
        <v>49174.093597853294</v>
      </c>
      <c r="E132" s="3">
        <f t="shared" si="9"/>
        <v>-2.9272303008414166E-4</v>
      </c>
      <c r="F132" s="3">
        <f t="shared" si="10"/>
        <v>-4.1377970659066962E-3</v>
      </c>
      <c r="G132" s="3">
        <f t="shared" si="11"/>
        <v>4.430520095990838E-3</v>
      </c>
    </row>
    <row r="133" spans="1:7" x14ac:dyDescent="0.25">
      <c r="A133" s="3">
        <v>125</v>
      </c>
      <c r="B133" s="3">
        <f t="shared" si="6"/>
        <v>825.87066526287799</v>
      </c>
      <c r="C133" s="3">
        <f t="shared" si="7"/>
        <v>3.1306363702020008E-2</v>
      </c>
      <c r="D133" s="3">
        <f t="shared" si="8"/>
        <v>49174.098028373388</v>
      </c>
      <c r="E133" s="3">
        <f t="shared" si="9"/>
        <v>-2.585500741754888E-4</v>
      </c>
      <c r="F133" s="3">
        <f t="shared" si="10"/>
        <v>-3.6547453885770122E-3</v>
      </c>
      <c r="G133" s="3">
        <f t="shared" si="11"/>
        <v>3.913295462752501E-3</v>
      </c>
    </row>
    <row r="134" spans="1:7" x14ac:dyDescent="0.25">
      <c r="A134" s="3">
        <v>126</v>
      </c>
      <c r="B134" s="3">
        <f t="shared" si="6"/>
        <v>825.87040671280386</v>
      </c>
      <c r="C134" s="3">
        <f t="shared" si="7"/>
        <v>2.7651618313442997E-2</v>
      </c>
      <c r="D134" s="3">
        <f t="shared" si="8"/>
        <v>49174.10194166885</v>
      </c>
      <c r="E134" s="3">
        <f t="shared" si="9"/>
        <v>-2.2836653262790386E-4</v>
      </c>
      <c r="F134" s="3">
        <f t="shared" si="10"/>
        <v>-3.2280857565524707E-3</v>
      </c>
      <c r="G134" s="3">
        <f t="shared" si="11"/>
        <v>3.4564522891803746E-3</v>
      </c>
    </row>
    <row r="135" spans="1:7" x14ac:dyDescent="0.25">
      <c r="A135" s="3">
        <v>127</v>
      </c>
      <c r="B135" s="3">
        <f t="shared" si="6"/>
        <v>825.87017834627125</v>
      </c>
      <c r="C135" s="3">
        <f t="shared" si="7"/>
        <v>2.4423532556890525E-2</v>
      </c>
      <c r="D135" s="3">
        <f t="shared" si="8"/>
        <v>49174.105398121137</v>
      </c>
      <c r="E135" s="3">
        <f t="shared" si="9"/>
        <v>-2.0170667188605142E-4</v>
      </c>
      <c r="F135" s="3">
        <f t="shared" si="10"/>
        <v>-2.8512348977252642E-3</v>
      </c>
      <c r="G135" s="3">
        <f t="shared" si="11"/>
        <v>3.0529415696113156E-3</v>
      </c>
    </row>
    <row r="136" spans="1:7" x14ac:dyDescent="0.25">
      <c r="A136" s="3">
        <v>128</v>
      </c>
      <c r="B136" s="3">
        <f t="shared" si="6"/>
        <v>825.86997663959937</v>
      </c>
      <c r="C136" s="3">
        <f t="shared" si="7"/>
        <v>2.1572297659165261E-2</v>
      </c>
      <c r="D136" s="3">
        <f t="shared" si="8"/>
        <v>49174.108451062704</v>
      </c>
      <c r="E136" s="3">
        <f t="shared" si="9"/>
        <v>-1.7815912963837301E-4</v>
      </c>
      <c r="F136" s="3">
        <f t="shared" si="10"/>
        <v>-2.5183780777572845E-3</v>
      </c>
      <c r="G136" s="3">
        <f t="shared" si="11"/>
        <v>2.6965372073956577E-3</v>
      </c>
    </row>
    <row r="137" spans="1:7" x14ac:dyDescent="0.25">
      <c r="A137" s="3">
        <v>129</v>
      </c>
      <c r="B137" s="3">
        <f t="shared" si="6"/>
        <v>825.86979848046974</v>
      </c>
      <c r="C137" s="3">
        <f t="shared" si="7"/>
        <v>1.9053919581407976E-2</v>
      </c>
      <c r="D137" s="3">
        <f t="shared" si="8"/>
        <v>49174.111147599913</v>
      </c>
      <c r="E137" s="3">
        <f t="shared" si="9"/>
        <v>-1.5736056724960484E-4</v>
      </c>
      <c r="F137" s="3">
        <f t="shared" si="10"/>
        <v>-2.2243793804263921E-3</v>
      </c>
      <c r="G137" s="3">
        <f t="shared" si="11"/>
        <v>2.381739947675997E-3</v>
      </c>
    </row>
    <row r="138" spans="1:7" x14ac:dyDescent="0.25">
      <c r="A138" s="3">
        <v>130</v>
      </c>
      <c r="B138" s="3">
        <f t="shared" ref="B138:B201" si="12">B137+E137*1</f>
        <v>825.86964111990244</v>
      </c>
      <c r="C138" s="3">
        <f t="shared" ref="C138:C201" si="13">C137+F137*1</f>
        <v>1.6829540200981583E-2</v>
      </c>
      <c r="D138" s="3">
        <f t="shared" ref="D138:D201" si="14">D137+G137*1</f>
        <v>49174.113529339862</v>
      </c>
      <c r="E138" s="3">
        <f t="shared" ref="E138:E201" si="15">-0.00001*B138*C138</f>
        <v>-1.3899006325997633E-4</v>
      </c>
      <c r="F138" s="3">
        <f t="shared" ref="F138:F201" si="16">0.00001*B138*C138-(1/8)*C138</f>
        <v>-1.9647024618627213E-3</v>
      </c>
      <c r="G138" s="3">
        <f t="shared" ref="G138:G201" si="17">(1/8)*C138</f>
        <v>2.1036925251226978E-3</v>
      </c>
    </row>
    <row r="139" spans="1:7" x14ac:dyDescent="0.25">
      <c r="A139" s="3">
        <v>131</v>
      </c>
      <c r="B139" s="3">
        <f t="shared" si="12"/>
        <v>825.86950212983913</v>
      </c>
      <c r="C139" s="3">
        <f t="shared" si="13"/>
        <v>1.4864837739118862E-2</v>
      </c>
      <c r="D139" s="3">
        <f t="shared" si="14"/>
        <v>49174.115633032387</v>
      </c>
      <c r="E139" s="3">
        <f t="shared" si="15"/>
        <v>-1.2276416142846939E-4</v>
      </c>
      <c r="F139" s="3">
        <f t="shared" si="16"/>
        <v>-1.7353405559613884E-3</v>
      </c>
      <c r="G139" s="3">
        <f t="shared" si="17"/>
        <v>1.8581047173898578E-3</v>
      </c>
    </row>
    <row r="140" spans="1:7" x14ac:dyDescent="0.25">
      <c r="A140" s="3">
        <v>132</v>
      </c>
      <c r="B140" s="3">
        <f t="shared" si="12"/>
        <v>825.86937936567767</v>
      </c>
      <c r="C140" s="3">
        <f t="shared" si="13"/>
        <v>1.3129497183157474E-2</v>
      </c>
      <c r="D140" s="3">
        <f t="shared" si="14"/>
        <v>49174.117491137105</v>
      </c>
      <c r="E140" s="3">
        <f t="shared" si="15"/>
        <v>-1.0843249690037676E-4</v>
      </c>
      <c r="F140" s="3">
        <f t="shared" si="16"/>
        <v>-1.5327546509943074E-3</v>
      </c>
      <c r="G140" s="3">
        <f t="shared" si="17"/>
        <v>1.6411871478946842E-3</v>
      </c>
    </row>
    <row r="141" spans="1:7" x14ac:dyDescent="0.25">
      <c r="A141" s="3">
        <v>133</v>
      </c>
      <c r="B141" s="3">
        <f t="shared" si="12"/>
        <v>825.86927093318081</v>
      </c>
      <c r="C141" s="3">
        <f t="shared" si="13"/>
        <v>1.1596742532163166E-2</v>
      </c>
      <c r="D141" s="3">
        <f t="shared" si="14"/>
        <v>49174.119132324253</v>
      </c>
      <c r="E141" s="3">
        <f t="shared" si="15"/>
        <v>-9.5773933002374028E-5</v>
      </c>
      <c r="F141" s="3">
        <f t="shared" si="16"/>
        <v>-1.3538188835180217E-3</v>
      </c>
      <c r="G141" s="3">
        <f t="shared" si="17"/>
        <v>1.4495928165203958E-3</v>
      </c>
    </row>
    <row r="142" spans="1:7" x14ac:dyDescent="0.25">
      <c r="A142" s="3">
        <v>134</v>
      </c>
      <c r="B142" s="3">
        <f t="shared" si="12"/>
        <v>825.86917515924779</v>
      </c>
      <c r="C142" s="3">
        <f t="shared" si="13"/>
        <v>1.0242923648645144E-2</v>
      </c>
      <c r="D142" s="3">
        <f t="shared" si="14"/>
        <v>49174.120581917072</v>
      </c>
      <c r="E142" s="3">
        <f t="shared" si="15"/>
        <v>-8.459314904925717E-5</v>
      </c>
      <c r="F142" s="3">
        <f t="shared" si="16"/>
        <v>-1.1957723070313859E-3</v>
      </c>
      <c r="G142" s="3">
        <f t="shared" si="17"/>
        <v>1.280365456080643E-3</v>
      </c>
    </row>
    <row r="143" spans="1:7" x14ac:dyDescent="0.25">
      <c r="A143" s="3">
        <v>135</v>
      </c>
      <c r="B143" s="3">
        <f t="shared" si="12"/>
        <v>825.86909056609875</v>
      </c>
      <c r="C143" s="3">
        <f t="shared" si="13"/>
        <v>9.0471513416137579E-3</v>
      </c>
      <c r="D143" s="3">
        <f t="shared" si="14"/>
        <v>49174.121862282525</v>
      </c>
      <c r="E143" s="3">
        <f t="shared" si="15"/>
        <v>-7.4717626507124144E-5</v>
      </c>
      <c r="F143" s="3">
        <f t="shared" si="16"/>
        <v>-1.0561762911945956E-3</v>
      </c>
      <c r="G143" s="3">
        <f t="shared" si="17"/>
        <v>1.1308939177017197E-3</v>
      </c>
    </row>
    <row r="144" spans="1:7" x14ac:dyDescent="0.25">
      <c r="A144" s="3">
        <v>136</v>
      </c>
      <c r="B144" s="3">
        <f t="shared" si="12"/>
        <v>825.86901584847226</v>
      </c>
      <c r="C144" s="3">
        <f t="shared" si="13"/>
        <v>7.9909750504191628E-3</v>
      </c>
      <c r="D144" s="3">
        <f t="shared" si="14"/>
        <v>49174.122993176446</v>
      </c>
      <c r="E144" s="3">
        <f t="shared" si="15"/>
        <v>-6.5994987005593703E-5</v>
      </c>
      <c r="F144" s="3">
        <f t="shared" si="16"/>
        <v>-9.3287689429680167E-4</v>
      </c>
      <c r="G144" s="3">
        <f t="shared" si="17"/>
        <v>9.9887188130239534E-4</v>
      </c>
    </row>
    <row r="145" spans="1:7" x14ac:dyDescent="0.25">
      <c r="A145" s="3">
        <v>137</v>
      </c>
      <c r="B145" s="3">
        <f t="shared" si="12"/>
        <v>825.86894985348522</v>
      </c>
      <c r="C145" s="3">
        <f t="shared" si="13"/>
        <v>7.0580981561223612E-3</v>
      </c>
      <c r="D145" s="3">
        <f t="shared" si="14"/>
        <v>49174.123992048328</v>
      </c>
      <c r="E145" s="3">
        <f t="shared" si="15"/>
        <v>-5.8290641121595956E-5</v>
      </c>
      <c r="F145" s="3">
        <f t="shared" si="16"/>
        <v>-8.2397162839369922E-4</v>
      </c>
      <c r="G145" s="3">
        <f t="shared" si="17"/>
        <v>8.8226226951529515E-4</v>
      </c>
    </row>
    <row r="146" spans="1:7" x14ac:dyDescent="0.25">
      <c r="A146" s="3">
        <v>138</v>
      </c>
      <c r="B146" s="3">
        <f t="shared" si="12"/>
        <v>825.86889156284406</v>
      </c>
      <c r="C146" s="3">
        <f t="shared" si="13"/>
        <v>6.2341265277286624E-3</v>
      </c>
      <c r="D146" s="3">
        <f t="shared" si="14"/>
        <v>49174.124874310597</v>
      </c>
      <c r="E146" s="3">
        <f t="shared" si="15"/>
        <v>-5.1485711653177928E-5</v>
      </c>
      <c r="F146" s="3">
        <f t="shared" si="16"/>
        <v>-7.2778010431290491E-4</v>
      </c>
      <c r="G146" s="3">
        <f t="shared" si="17"/>
        <v>7.792658159660828E-4</v>
      </c>
    </row>
    <row r="147" spans="1:7" x14ac:dyDescent="0.25">
      <c r="A147" s="3">
        <v>139</v>
      </c>
      <c r="B147" s="3">
        <f t="shared" si="12"/>
        <v>825.8688400771324</v>
      </c>
      <c r="C147" s="3">
        <f t="shared" si="13"/>
        <v>5.5063464234157578E-3</v>
      </c>
      <c r="D147" s="3">
        <f t="shared" si="14"/>
        <v>49174.125653576411</v>
      </c>
      <c r="E147" s="3">
        <f t="shared" si="15"/>
        <v>-4.5475199337692383E-5</v>
      </c>
      <c r="F147" s="3">
        <f t="shared" si="16"/>
        <v>-6.4281810358927732E-4</v>
      </c>
      <c r="G147" s="3">
        <f t="shared" si="17"/>
        <v>6.8829330292696973E-4</v>
      </c>
    </row>
    <row r="148" spans="1:7" x14ac:dyDescent="0.25">
      <c r="A148" s="3">
        <v>140</v>
      </c>
      <c r="B148" s="3">
        <f t="shared" si="12"/>
        <v>825.86879460193302</v>
      </c>
      <c r="C148" s="3">
        <f t="shared" si="13"/>
        <v>4.8635283198264802E-3</v>
      </c>
      <c r="D148" s="3">
        <f t="shared" si="14"/>
        <v>49174.126341869713</v>
      </c>
      <c r="E148" s="3">
        <f t="shared" si="15"/>
        <v>-4.0166362710074603E-5</v>
      </c>
      <c r="F148" s="3">
        <f t="shared" si="16"/>
        <v>-5.6777467726823547E-4</v>
      </c>
      <c r="G148" s="3">
        <f t="shared" si="17"/>
        <v>6.0794103997831002E-4</v>
      </c>
    </row>
    <row r="149" spans="1:7" x14ac:dyDescent="0.25">
      <c r="A149" s="3">
        <v>141</v>
      </c>
      <c r="B149" s="3">
        <f t="shared" si="12"/>
        <v>825.86875443557028</v>
      </c>
      <c r="C149" s="3">
        <f t="shared" si="13"/>
        <v>4.2957536425582447E-3</v>
      </c>
      <c r="D149" s="3">
        <f t="shared" si="14"/>
        <v>49174.12694981075</v>
      </c>
      <c r="E149" s="3">
        <f t="shared" si="15"/>
        <v>-3.5477287101416418E-5</v>
      </c>
      <c r="F149" s="3">
        <f t="shared" si="16"/>
        <v>-5.0149191821836415E-4</v>
      </c>
      <c r="G149" s="3">
        <f t="shared" si="17"/>
        <v>5.3696920531978059E-4</v>
      </c>
    </row>
    <row r="150" spans="1:7" x14ac:dyDescent="0.25">
      <c r="A150" s="3">
        <v>142</v>
      </c>
      <c r="B150" s="3">
        <f t="shared" si="12"/>
        <v>825.86871895828313</v>
      </c>
      <c r="C150" s="3">
        <f t="shared" si="13"/>
        <v>3.7942617243398808E-3</v>
      </c>
      <c r="D150" s="3">
        <f t="shared" si="14"/>
        <v>49174.127486779958</v>
      </c>
      <c r="E150" s="3">
        <f t="shared" si="15"/>
        <v>-3.1335620696730244E-5</v>
      </c>
      <c r="F150" s="3">
        <f t="shared" si="16"/>
        <v>-4.4294709484575485E-4</v>
      </c>
      <c r="G150" s="3">
        <f t="shared" si="17"/>
        <v>4.742827155424851E-4</v>
      </c>
    </row>
    <row r="151" spans="1:7" x14ac:dyDescent="0.25">
      <c r="A151" s="3">
        <v>143</v>
      </c>
      <c r="B151" s="3">
        <f t="shared" si="12"/>
        <v>825.86868762266238</v>
      </c>
      <c r="C151" s="3">
        <f t="shared" si="13"/>
        <v>3.3513146294941259E-3</v>
      </c>
      <c r="D151" s="3">
        <f t="shared" si="14"/>
        <v>49174.127961062673</v>
      </c>
      <c r="E151" s="3">
        <f t="shared" si="15"/>
        <v>-2.7677458148709426E-5</v>
      </c>
      <c r="F151" s="3">
        <f t="shared" si="16"/>
        <v>-3.9123687053805629E-4</v>
      </c>
      <c r="G151" s="3">
        <f t="shared" si="17"/>
        <v>4.1891432868676573E-4</v>
      </c>
    </row>
    <row r="152" spans="1:7" x14ac:dyDescent="0.25">
      <c r="A152" s="3">
        <v>144</v>
      </c>
      <c r="B152" s="3">
        <f t="shared" si="12"/>
        <v>825.86865994520429</v>
      </c>
      <c r="C152" s="3">
        <f t="shared" si="13"/>
        <v>2.9600777589560696E-3</v>
      </c>
      <c r="D152" s="3">
        <f t="shared" si="14"/>
        <v>49174.128379977003</v>
      </c>
      <c r="E152" s="3">
        <f t="shared" si="15"/>
        <v>-2.4446354521226526E-5</v>
      </c>
      <c r="F152" s="3">
        <f t="shared" si="16"/>
        <v>-3.4556336534828218E-4</v>
      </c>
      <c r="G152" s="3">
        <f t="shared" si="17"/>
        <v>3.700097198695087E-4</v>
      </c>
    </row>
    <row r="153" spans="1:7" x14ac:dyDescent="0.25">
      <c r="A153" s="3">
        <v>145</v>
      </c>
      <c r="B153" s="3">
        <f t="shared" si="12"/>
        <v>825.86863549884981</v>
      </c>
      <c r="C153" s="3">
        <f t="shared" si="13"/>
        <v>2.6145143936077875E-3</v>
      </c>
      <c r="D153" s="3">
        <f t="shared" si="14"/>
        <v>49174.128749986725</v>
      </c>
      <c r="E153" s="3">
        <f t="shared" si="15"/>
        <v>-2.1592454347409663E-5</v>
      </c>
      <c r="F153" s="3">
        <f t="shared" si="16"/>
        <v>-3.0522184485356379E-4</v>
      </c>
      <c r="G153" s="3">
        <f t="shared" si="17"/>
        <v>3.2681429920097344E-4</v>
      </c>
    </row>
    <row r="154" spans="1:7" x14ac:dyDescent="0.25">
      <c r="A154" s="3">
        <v>146</v>
      </c>
      <c r="B154" s="3">
        <f t="shared" si="12"/>
        <v>825.86861390639547</v>
      </c>
      <c r="C154" s="3">
        <f t="shared" si="13"/>
        <v>2.3092925487542236E-3</v>
      </c>
      <c r="D154" s="3">
        <f t="shared" si="14"/>
        <v>49174.129076801022</v>
      </c>
      <c r="E154" s="3">
        <f t="shared" si="15"/>
        <v>-1.907172236344018E-5</v>
      </c>
      <c r="F154" s="3">
        <f t="shared" si="16"/>
        <v>-2.6958984623083777E-4</v>
      </c>
      <c r="G154" s="3">
        <f t="shared" si="17"/>
        <v>2.8866156859427795E-4</v>
      </c>
    </row>
    <row r="155" spans="1:7" x14ac:dyDescent="0.25">
      <c r="A155" s="3">
        <v>147</v>
      </c>
      <c r="B155" s="3">
        <f t="shared" si="12"/>
        <v>825.8685948346731</v>
      </c>
      <c r="C155" s="3">
        <f t="shared" si="13"/>
        <v>2.0397027025233858E-3</v>
      </c>
      <c r="D155" s="3">
        <f t="shared" si="14"/>
        <v>49174.129365462592</v>
      </c>
      <c r="E155" s="3">
        <f t="shared" si="15"/>
        <v>-1.6845264048134739E-5</v>
      </c>
      <c r="F155" s="3">
        <f t="shared" si="16"/>
        <v>-2.3811757376728849E-4</v>
      </c>
      <c r="G155" s="3">
        <f t="shared" si="17"/>
        <v>2.5496283781542323E-4</v>
      </c>
    </row>
    <row r="156" spans="1:7" x14ac:dyDescent="0.25">
      <c r="A156" s="3">
        <v>148</v>
      </c>
      <c r="B156" s="3">
        <f t="shared" si="12"/>
        <v>825.868577989409</v>
      </c>
      <c r="C156" s="3">
        <f t="shared" si="13"/>
        <v>1.8015851287560974E-3</v>
      </c>
      <c r="D156" s="3">
        <f t="shared" si="14"/>
        <v>49174.129620425432</v>
      </c>
      <c r="E156" s="3">
        <f t="shared" si="15"/>
        <v>-1.4878725484126645E-5</v>
      </c>
      <c r="F156" s="3">
        <f t="shared" si="16"/>
        <v>-2.1031941561038553E-4</v>
      </c>
      <c r="G156" s="3">
        <f t="shared" si="17"/>
        <v>2.2519814109451218E-4</v>
      </c>
    </row>
    <row r="157" spans="1:7" x14ac:dyDescent="0.25">
      <c r="A157" s="3">
        <v>149</v>
      </c>
      <c r="B157" s="3">
        <f t="shared" si="12"/>
        <v>825.86856311068357</v>
      </c>
      <c r="C157" s="3">
        <f t="shared" si="13"/>
        <v>1.5912657131457119E-3</v>
      </c>
      <c r="D157" s="3">
        <f t="shared" si="14"/>
        <v>49174.129845623575</v>
      </c>
      <c r="E157" s="3">
        <f t="shared" si="15"/>
        <v>-1.3141763280429465E-5</v>
      </c>
      <c r="F157" s="3">
        <f t="shared" si="16"/>
        <v>-1.8576645086278452E-4</v>
      </c>
      <c r="G157" s="3">
        <f t="shared" si="17"/>
        <v>1.9890821414321399E-4</v>
      </c>
    </row>
    <row r="158" spans="1:7" x14ac:dyDescent="0.25">
      <c r="A158" s="3">
        <v>150</v>
      </c>
      <c r="B158" s="3">
        <f t="shared" si="12"/>
        <v>825.86854996892032</v>
      </c>
      <c r="C158" s="3">
        <f t="shared" si="13"/>
        <v>1.4054992622829273E-3</v>
      </c>
      <c r="D158" s="3">
        <f t="shared" si="14"/>
        <v>49174.13004453179</v>
      </c>
      <c r="E158" s="3">
        <f t="shared" si="15"/>
        <v>-1.1607576377239884E-5</v>
      </c>
      <c r="F158" s="3">
        <f t="shared" si="16"/>
        <v>-1.6407983140812602E-4</v>
      </c>
      <c r="G158" s="3">
        <f t="shared" si="17"/>
        <v>1.7568740778536591E-4</v>
      </c>
    </row>
    <row r="159" spans="1:7" x14ac:dyDescent="0.25">
      <c r="A159" s="3">
        <v>151</v>
      </c>
      <c r="B159" s="3">
        <f t="shared" si="12"/>
        <v>825.86853836134389</v>
      </c>
      <c r="C159" s="3">
        <f t="shared" si="13"/>
        <v>1.2414194308748012E-3</v>
      </c>
      <c r="D159" s="3">
        <f t="shared" si="14"/>
        <v>49174.130220219195</v>
      </c>
      <c r="E159" s="3">
        <f t="shared" si="15"/>
        <v>-1.0252492508699435E-5</v>
      </c>
      <c r="F159" s="3">
        <f t="shared" si="16"/>
        <v>-1.4492493635065071E-4</v>
      </c>
      <c r="G159" s="3">
        <f t="shared" si="17"/>
        <v>1.5517742885935015E-4</v>
      </c>
    </row>
    <row r="160" spans="1:7" x14ac:dyDescent="0.25">
      <c r="A160" s="3">
        <v>152</v>
      </c>
      <c r="B160" s="3">
        <f t="shared" si="12"/>
        <v>825.86852810885136</v>
      </c>
      <c r="C160" s="3">
        <f t="shared" si="13"/>
        <v>1.0964944945241505E-3</v>
      </c>
      <c r="D160" s="3">
        <f t="shared" si="14"/>
        <v>49174.13037539662</v>
      </c>
      <c r="E160" s="3">
        <f t="shared" si="15"/>
        <v>-9.055602942721191E-6</v>
      </c>
      <c r="F160" s="3">
        <f t="shared" si="16"/>
        <v>-1.2800620887279762E-4</v>
      </c>
      <c r="G160" s="3">
        <f t="shared" si="17"/>
        <v>1.3706181181551881E-4</v>
      </c>
    </row>
    <row r="161" spans="1:7" x14ac:dyDescent="0.25">
      <c r="A161" s="3">
        <v>153</v>
      </c>
      <c r="B161" s="3">
        <f t="shared" si="12"/>
        <v>825.86851905324841</v>
      </c>
      <c r="C161" s="3">
        <f t="shared" si="13"/>
        <v>9.6848828565135293E-4</v>
      </c>
      <c r="D161" s="3">
        <f t="shared" si="14"/>
        <v>49174.130512458432</v>
      </c>
      <c r="E161" s="3">
        <f t="shared" si="15"/>
        <v>-7.9984398619130219E-6</v>
      </c>
      <c r="F161" s="3">
        <f t="shared" si="16"/>
        <v>-1.130625958445061E-4</v>
      </c>
      <c r="G161" s="3">
        <f t="shared" si="17"/>
        <v>1.2106103570641912E-4</v>
      </c>
    </row>
    <row r="162" spans="1:7" x14ac:dyDescent="0.25">
      <c r="A162" s="3">
        <v>154</v>
      </c>
      <c r="B162" s="3">
        <f t="shared" si="12"/>
        <v>825.86851105480855</v>
      </c>
      <c r="C162" s="3">
        <f t="shared" si="13"/>
        <v>8.5542568980684678E-4</v>
      </c>
      <c r="D162" s="3">
        <f t="shared" si="14"/>
        <v>49174.130633519468</v>
      </c>
      <c r="E162" s="3">
        <f t="shared" si="15"/>
        <v>-7.0646914075881316E-6</v>
      </c>
      <c r="F162" s="3">
        <f t="shared" si="16"/>
        <v>-9.9863519818267711E-5</v>
      </c>
      <c r="G162" s="3">
        <f t="shared" si="17"/>
        <v>1.0692821122585585E-4</v>
      </c>
    </row>
    <row r="163" spans="1:7" x14ac:dyDescent="0.25">
      <c r="A163" s="3">
        <v>155</v>
      </c>
      <c r="B163" s="3">
        <f t="shared" si="12"/>
        <v>825.86850399011712</v>
      </c>
      <c r="C163" s="3">
        <f t="shared" si="13"/>
        <v>7.5556216998857908E-4</v>
      </c>
      <c r="D163" s="3">
        <f t="shared" si="14"/>
        <v>49174.130740447676</v>
      </c>
      <c r="E163" s="3">
        <f t="shared" si="15"/>
        <v>-6.2399499899999446E-6</v>
      </c>
      <c r="F163" s="3">
        <f t="shared" si="16"/>
        <v>-8.8205321258572438E-5</v>
      </c>
      <c r="G163" s="3">
        <f t="shared" si="17"/>
        <v>9.4445271248572385E-5</v>
      </c>
    </row>
    <row r="164" spans="1:7" x14ac:dyDescent="0.25">
      <c r="A164" s="3">
        <v>156</v>
      </c>
      <c r="B164" s="3">
        <f t="shared" si="12"/>
        <v>825.86849775016708</v>
      </c>
      <c r="C164" s="3">
        <f t="shared" si="13"/>
        <v>6.6735684873000666E-4</v>
      </c>
      <c r="D164" s="3">
        <f t="shared" si="14"/>
        <v>49174.130834892945</v>
      </c>
      <c r="E164" s="3">
        <f t="shared" si="15"/>
        <v>-5.5114899812393618E-6</v>
      </c>
      <c r="F164" s="3">
        <f t="shared" si="16"/>
        <v>-7.7908116110011471E-5</v>
      </c>
      <c r="G164" s="3">
        <f t="shared" si="17"/>
        <v>8.3419606091250832E-5</v>
      </c>
    </row>
    <row r="165" spans="1:7" x14ac:dyDescent="0.25">
      <c r="A165" s="3">
        <v>157</v>
      </c>
      <c r="B165" s="3">
        <f t="shared" si="12"/>
        <v>825.86849223867705</v>
      </c>
      <c r="C165" s="3">
        <f t="shared" si="13"/>
        <v>5.8944873261999517E-4</v>
      </c>
      <c r="D165" s="3">
        <f t="shared" si="14"/>
        <v>49174.130918312549</v>
      </c>
      <c r="E165" s="3">
        <f t="shared" si="15"/>
        <v>-4.868071360608746E-6</v>
      </c>
      <c r="F165" s="3">
        <f t="shared" si="16"/>
        <v>-6.8813020216890655E-5</v>
      </c>
      <c r="G165" s="3">
        <f t="shared" si="17"/>
        <v>7.3681091577499396E-5</v>
      </c>
    </row>
    <row r="166" spans="1:7" x14ac:dyDescent="0.25">
      <c r="A166" s="3">
        <v>158</v>
      </c>
      <c r="B166" s="3">
        <f t="shared" si="12"/>
        <v>825.86848737060564</v>
      </c>
      <c r="C166" s="3">
        <f t="shared" si="13"/>
        <v>5.2063571240310448E-4</v>
      </c>
      <c r="D166" s="3">
        <f t="shared" si="14"/>
        <v>49174.130991993639</v>
      </c>
      <c r="E166" s="3">
        <f t="shared" si="15"/>
        <v>-4.2997662827346962E-6</v>
      </c>
      <c r="F166" s="3">
        <f t="shared" si="16"/>
        <v>-6.0779697767653365E-5</v>
      </c>
      <c r="G166" s="3">
        <f t="shared" si="17"/>
        <v>6.507946405038806E-5</v>
      </c>
    </row>
    <row r="167" spans="1:7" x14ac:dyDescent="0.25">
      <c r="A167" s="3">
        <v>159</v>
      </c>
      <c r="B167" s="3">
        <f t="shared" si="12"/>
        <v>825.86848307083937</v>
      </c>
      <c r="C167" s="3">
        <f t="shared" si="13"/>
        <v>4.5985601463545113E-4</v>
      </c>
      <c r="D167" s="3">
        <f t="shared" si="14"/>
        <v>49174.1310570731</v>
      </c>
      <c r="E167" s="3">
        <f t="shared" si="15"/>
        <v>-3.7978058923798181E-6</v>
      </c>
      <c r="F167" s="3">
        <f t="shared" si="16"/>
        <v>-5.3684195937051573E-5</v>
      </c>
      <c r="G167" s="3">
        <f t="shared" si="17"/>
        <v>5.7482001829431391E-5</v>
      </c>
    </row>
    <row r="168" spans="1:7" x14ac:dyDescent="0.25">
      <c r="A168" s="3">
        <v>160</v>
      </c>
      <c r="B168" s="3">
        <f t="shared" si="12"/>
        <v>825.86847927303347</v>
      </c>
      <c r="C168" s="3">
        <f t="shared" si="13"/>
        <v>4.0617181869839953E-4</v>
      </c>
      <c r="D168" s="3">
        <f t="shared" si="14"/>
        <v>49174.131114555101</v>
      </c>
      <c r="E168" s="3">
        <f t="shared" si="15"/>
        <v>-3.3544450223200951E-6</v>
      </c>
      <c r="F168" s="3">
        <f t="shared" si="16"/>
        <v>-4.7417032314979845E-5</v>
      </c>
      <c r="G168" s="3">
        <f t="shared" si="17"/>
        <v>5.0771477337299941E-5</v>
      </c>
    </row>
    <row r="169" spans="1:7" x14ac:dyDescent="0.25">
      <c r="A169" s="3">
        <v>161</v>
      </c>
      <c r="B169" s="3">
        <f t="shared" si="12"/>
        <v>825.8684759185885</v>
      </c>
      <c r="C169" s="3">
        <f t="shared" si="13"/>
        <v>3.5875478638341967E-4</v>
      </c>
      <c r="D169" s="3">
        <f t="shared" si="14"/>
        <v>49174.13116532658</v>
      </c>
      <c r="E169" s="3">
        <f t="shared" si="15"/>
        <v>-2.9628426865897364E-6</v>
      </c>
      <c r="F169" s="3">
        <f t="shared" si="16"/>
        <v>-4.1881505611337724E-5</v>
      </c>
      <c r="G169" s="3">
        <f t="shared" si="17"/>
        <v>4.4844348297927459E-5</v>
      </c>
    </row>
    <row r="170" spans="1:7" x14ac:dyDescent="0.25">
      <c r="A170" s="3">
        <v>162</v>
      </c>
      <c r="B170" s="3">
        <f t="shared" si="12"/>
        <v>825.8684729557458</v>
      </c>
      <c r="C170" s="3">
        <f t="shared" si="13"/>
        <v>3.1687328077208198E-4</v>
      </c>
      <c r="D170" s="3">
        <f t="shared" si="14"/>
        <v>49174.131210170926</v>
      </c>
      <c r="E170" s="3">
        <f t="shared" si="15"/>
        <v>-2.6169565251171665E-6</v>
      </c>
      <c r="F170" s="3">
        <f t="shared" si="16"/>
        <v>-3.6992203571393081E-5</v>
      </c>
      <c r="G170" s="3">
        <f t="shared" si="17"/>
        <v>3.9609160096510247E-5</v>
      </c>
    </row>
    <row r="171" spans="1:7" x14ac:dyDescent="0.25">
      <c r="A171" s="3">
        <v>163</v>
      </c>
      <c r="B171" s="3">
        <f t="shared" si="12"/>
        <v>825.86847033878928</v>
      </c>
      <c r="C171" s="3">
        <f t="shared" si="13"/>
        <v>2.7988107720068887E-4</v>
      </c>
      <c r="D171" s="3">
        <f t="shared" si="14"/>
        <v>49174.13124978009</v>
      </c>
      <c r="E171" s="3">
        <f t="shared" si="15"/>
        <v>-2.3114495710450553E-6</v>
      </c>
      <c r="F171" s="3">
        <f t="shared" si="16"/>
        <v>-3.2673685079041053E-5</v>
      </c>
      <c r="G171" s="3">
        <f t="shared" si="17"/>
        <v>3.4985134650086109E-5</v>
      </c>
    </row>
    <row r="172" spans="1:7" x14ac:dyDescent="0.25">
      <c r="A172" s="3">
        <v>164</v>
      </c>
      <c r="B172" s="3">
        <f t="shared" si="12"/>
        <v>825.86846802733976</v>
      </c>
      <c r="C172" s="3">
        <f t="shared" si="13"/>
        <v>2.4720739212164781E-4</v>
      </c>
      <c r="D172" s="3">
        <f t="shared" si="14"/>
        <v>49174.131284765223</v>
      </c>
      <c r="E172" s="3">
        <f t="shared" si="15"/>
        <v>-2.0416079021653918E-6</v>
      </c>
      <c r="F172" s="3">
        <f t="shared" si="16"/>
        <v>-2.8859316113040586E-5</v>
      </c>
      <c r="G172" s="3">
        <f t="shared" si="17"/>
        <v>3.0900924015205976E-5</v>
      </c>
    </row>
    <row r="173" spans="1:7" x14ac:dyDescent="0.25">
      <c r="A173" s="3">
        <v>165</v>
      </c>
      <c r="B173" s="3">
        <f t="shared" si="12"/>
        <v>825.86846598573186</v>
      </c>
      <c r="C173" s="3">
        <f t="shared" si="13"/>
        <v>2.1834807600860722E-4</v>
      </c>
      <c r="D173" s="3">
        <f t="shared" si="14"/>
        <v>49174.131315666149</v>
      </c>
      <c r="E173" s="3">
        <f t="shared" si="15"/>
        <v>-1.8032679058416442E-6</v>
      </c>
      <c r="F173" s="3">
        <f t="shared" si="16"/>
        <v>-2.5490241595234258E-5</v>
      </c>
      <c r="G173" s="3">
        <f t="shared" si="17"/>
        <v>2.7293509501075903E-5</v>
      </c>
    </row>
    <row r="174" spans="1:7" x14ac:dyDescent="0.25">
      <c r="A174" s="3">
        <v>166</v>
      </c>
      <c r="B174" s="3">
        <f t="shared" si="12"/>
        <v>825.86846418246398</v>
      </c>
      <c r="C174" s="3">
        <f t="shared" si="13"/>
        <v>1.9285783441337298E-4</v>
      </c>
      <c r="D174" s="3">
        <f t="shared" si="14"/>
        <v>49174.131342959656</v>
      </c>
      <c r="E174" s="3">
        <f t="shared" si="15"/>
        <v>-1.5927520351252831E-6</v>
      </c>
      <c r="F174" s="3">
        <f t="shared" si="16"/>
        <v>-2.251447726654634E-5</v>
      </c>
      <c r="G174" s="3">
        <f t="shared" si="17"/>
        <v>2.4107229301671622E-5</v>
      </c>
    </row>
    <row r="175" spans="1:7" x14ac:dyDescent="0.25">
      <c r="A175" s="3">
        <v>167</v>
      </c>
      <c r="B175" s="3">
        <f t="shared" si="12"/>
        <v>825.86846258971195</v>
      </c>
      <c r="C175" s="3">
        <f t="shared" si="13"/>
        <v>1.7034335714682664E-4</v>
      </c>
      <c r="D175" s="3">
        <f t="shared" si="14"/>
        <v>49174.131367066882</v>
      </c>
      <c r="E175" s="3">
        <f t="shared" si="15"/>
        <v>-1.4068120647921994E-6</v>
      </c>
      <c r="F175" s="3">
        <f t="shared" si="16"/>
        <v>-1.988610757856113E-5</v>
      </c>
      <c r="G175" s="3">
        <f t="shared" si="17"/>
        <v>2.1292919643353331E-5</v>
      </c>
    </row>
    <row r="176" spans="1:7" x14ac:dyDescent="0.25">
      <c r="A176" s="3">
        <v>168</v>
      </c>
      <c r="B176" s="3">
        <f t="shared" si="12"/>
        <v>825.86846118289986</v>
      </c>
      <c r="C176" s="3">
        <f t="shared" si="13"/>
        <v>1.5045724956826552E-4</v>
      </c>
      <c r="D176" s="3">
        <f t="shared" si="14"/>
        <v>49174.131388359805</v>
      </c>
      <c r="E176" s="3">
        <f t="shared" si="15"/>
        <v>-1.2425789717475498E-6</v>
      </c>
      <c r="F176" s="3">
        <f t="shared" si="16"/>
        <v>-1.7564577224285639E-5</v>
      </c>
      <c r="G176" s="3">
        <f t="shared" si="17"/>
        <v>1.880715619603319E-5</v>
      </c>
    </row>
    <row r="177" spans="1:7" x14ac:dyDescent="0.25">
      <c r="A177" s="3">
        <v>169</v>
      </c>
      <c r="B177" s="3">
        <f t="shared" si="12"/>
        <v>825.86845994032092</v>
      </c>
      <c r="C177" s="3">
        <f t="shared" si="13"/>
        <v>1.3289267234397988E-4</v>
      </c>
      <c r="D177" s="3">
        <f t="shared" si="14"/>
        <v>49174.131407166962</v>
      </c>
      <c r="E177" s="3">
        <f t="shared" si="15"/>
        <v>-1.0975186664607635E-6</v>
      </c>
      <c r="F177" s="3">
        <f t="shared" si="16"/>
        <v>-1.5514065376536722E-5</v>
      </c>
      <c r="G177" s="3">
        <f t="shared" si="17"/>
        <v>1.6611584042997484E-5</v>
      </c>
    </row>
    <row r="178" spans="1:7" x14ac:dyDescent="0.25">
      <c r="A178" s="3">
        <v>170</v>
      </c>
      <c r="B178" s="3">
        <f t="shared" si="12"/>
        <v>825.86845884280228</v>
      </c>
      <c r="C178" s="3">
        <f t="shared" si="13"/>
        <v>1.1737860696744316E-4</v>
      </c>
      <c r="D178" s="3">
        <f t="shared" si="14"/>
        <v>49174.131423778548</v>
      </c>
      <c r="E178" s="3">
        <f t="shared" si="15"/>
        <v>-9.6939289237317311E-7</v>
      </c>
      <c r="F178" s="3">
        <f t="shared" si="16"/>
        <v>-1.3702932978557221E-5</v>
      </c>
      <c r="G178" s="3">
        <f t="shared" si="17"/>
        <v>1.4672325870930395E-5</v>
      </c>
    </row>
    <row r="179" spans="1:7" x14ac:dyDescent="0.25">
      <c r="A179" s="3">
        <v>171</v>
      </c>
      <c r="B179" s="3">
        <f t="shared" si="12"/>
        <v>825.8684578734094</v>
      </c>
      <c r="C179" s="3">
        <f t="shared" si="13"/>
        <v>1.0367567398888594E-4</v>
      </c>
      <c r="D179" s="3">
        <f t="shared" si="14"/>
        <v>49174.131438450873</v>
      </c>
      <c r="E179" s="3">
        <f t="shared" si="15"/>
        <v>-8.5622468996187573E-7</v>
      </c>
      <c r="F179" s="3">
        <f t="shared" si="16"/>
        <v>-1.2103234558648867E-5</v>
      </c>
      <c r="G179" s="3">
        <f t="shared" si="17"/>
        <v>1.2959459248610743E-5</v>
      </c>
    </row>
    <row r="180" spans="1:7" x14ac:dyDescent="0.25">
      <c r="A180" s="3">
        <v>172</v>
      </c>
      <c r="B180" s="3">
        <f t="shared" si="12"/>
        <v>825.86845701718471</v>
      </c>
      <c r="C180" s="3">
        <f t="shared" si="13"/>
        <v>9.1572439430237068E-5</v>
      </c>
      <c r="D180" s="3">
        <f t="shared" si="14"/>
        <v>49174.131451410336</v>
      </c>
      <c r="E180" s="3">
        <f t="shared" si="15"/>
        <v>-7.56267892575495E-7</v>
      </c>
      <c r="F180" s="3">
        <f t="shared" si="16"/>
        <v>-1.0690287036204139E-5</v>
      </c>
      <c r="G180" s="3">
        <f t="shared" si="17"/>
        <v>1.1446554928779633E-5</v>
      </c>
    </row>
    <row r="181" spans="1:7" x14ac:dyDescent="0.25">
      <c r="A181" s="3">
        <v>173</v>
      </c>
      <c r="B181" s="3">
        <f t="shared" si="12"/>
        <v>825.86845626091679</v>
      </c>
      <c r="C181" s="3">
        <f t="shared" si="13"/>
        <v>8.0882152394032929E-5</v>
      </c>
      <c r="D181" s="3">
        <f t="shared" si="14"/>
        <v>49174.131462856894</v>
      </c>
      <c r="E181" s="3">
        <f t="shared" si="15"/>
        <v>-6.6798018336720192E-7</v>
      </c>
      <c r="F181" s="3">
        <f t="shared" si="16"/>
        <v>-9.4422888658869146E-6</v>
      </c>
      <c r="G181" s="3">
        <f t="shared" si="17"/>
        <v>1.0110269049254116E-5</v>
      </c>
    </row>
    <row r="182" spans="1:7" x14ac:dyDescent="0.25">
      <c r="A182" s="3">
        <v>174</v>
      </c>
      <c r="B182" s="3">
        <f t="shared" si="12"/>
        <v>825.86845559293658</v>
      </c>
      <c r="C182" s="3">
        <f t="shared" si="13"/>
        <v>7.1439863528146007E-5</v>
      </c>
      <c r="D182" s="3">
        <f t="shared" si="14"/>
        <v>49174.131472967165</v>
      </c>
      <c r="E182" s="3">
        <f t="shared" si="15"/>
        <v>-5.8999929759760107E-7</v>
      </c>
      <c r="F182" s="3">
        <f t="shared" si="16"/>
        <v>-8.3399836434206499E-6</v>
      </c>
      <c r="G182" s="3">
        <f t="shared" si="17"/>
        <v>8.9299829410182509E-6</v>
      </c>
    </row>
    <row r="183" spans="1:7" x14ac:dyDescent="0.25">
      <c r="A183" s="3">
        <v>175</v>
      </c>
      <c r="B183" s="3">
        <f t="shared" si="12"/>
        <v>825.86845500293725</v>
      </c>
      <c r="C183" s="3">
        <f t="shared" si="13"/>
        <v>6.3099879884725356E-5</v>
      </c>
      <c r="D183" s="3">
        <f t="shared" si="14"/>
        <v>49174.131481897151</v>
      </c>
      <c r="E183" s="3">
        <f t="shared" si="15"/>
        <v>-5.2112200311269049E-7</v>
      </c>
      <c r="F183" s="3">
        <f t="shared" si="16"/>
        <v>-7.3663629824779791E-6</v>
      </c>
      <c r="G183" s="3">
        <f t="shared" si="17"/>
        <v>7.8874849855906695E-6</v>
      </c>
    </row>
    <row r="184" spans="1:7" x14ac:dyDescent="0.25">
      <c r="A184" s="3">
        <v>176</v>
      </c>
      <c r="B184" s="3">
        <f t="shared" si="12"/>
        <v>825.86845448181521</v>
      </c>
      <c r="C184" s="3">
        <f t="shared" si="13"/>
        <v>5.5733516902247374E-5</v>
      </c>
      <c r="D184" s="3">
        <f t="shared" si="14"/>
        <v>49174.131489784639</v>
      </c>
      <c r="E184" s="3">
        <f t="shared" si="15"/>
        <v>-4.6028553466895168E-7</v>
      </c>
      <c r="F184" s="3">
        <f t="shared" si="16"/>
        <v>-6.50640407811197E-6</v>
      </c>
      <c r="G184" s="3">
        <f t="shared" si="17"/>
        <v>6.9666896127809218E-6</v>
      </c>
    </row>
    <row r="185" spans="1:7" x14ac:dyDescent="0.25">
      <c r="A185" s="3">
        <v>177</v>
      </c>
      <c r="B185" s="3">
        <f t="shared" si="12"/>
        <v>825.86845402152971</v>
      </c>
      <c r="C185" s="3">
        <f t="shared" si="13"/>
        <v>4.9227112824135405E-5</v>
      </c>
      <c r="D185" s="3">
        <f t="shared" si="14"/>
        <v>49174.131496751332</v>
      </c>
      <c r="E185" s="3">
        <f t="shared" si="15"/>
        <v>-4.0655119564012132E-7</v>
      </c>
      <c r="F185" s="3">
        <f t="shared" si="16"/>
        <v>-5.7468379073768045E-6</v>
      </c>
      <c r="G185" s="3">
        <f t="shared" si="17"/>
        <v>6.1533891030169256E-6</v>
      </c>
    </row>
    <row r="186" spans="1:7" x14ac:dyDescent="0.25">
      <c r="A186" s="3">
        <v>178</v>
      </c>
      <c r="B186" s="3">
        <f t="shared" si="12"/>
        <v>825.86845361497853</v>
      </c>
      <c r="C186" s="3">
        <f t="shared" si="13"/>
        <v>4.3480274916758599E-5</v>
      </c>
      <c r="D186" s="3">
        <f t="shared" si="14"/>
        <v>49174.131502904718</v>
      </c>
      <c r="E186" s="3">
        <f t="shared" si="15"/>
        <v>-3.5908987408257569E-7</v>
      </c>
      <c r="F186" s="3">
        <f t="shared" si="16"/>
        <v>-5.0759444905122493E-6</v>
      </c>
      <c r="G186" s="3">
        <f t="shared" si="17"/>
        <v>5.4350343645948248E-6</v>
      </c>
    </row>
    <row r="187" spans="1:7" x14ac:dyDescent="0.25">
      <c r="A187" s="3">
        <v>179</v>
      </c>
      <c r="B187" s="3">
        <f t="shared" si="12"/>
        <v>825.86845325588865</v>
      </c>
      <c r="C187" s="3">
        <f t="shared" si="13"/>
        <v>3.8404330426246349E-5</v>
      </c>
      <c r="D187" s="3">
        <f t="shared" si="14"/>
        <v>49174.131508339749</v>
      </c>
      <c r="E187" s="3">
        <f t="shared" si="15"/>
        <v>-3.1716924967452135E-7</v>
      </c>
      <c r="F187" s="3">
        <f t="shared" si="16"/>
        <v>-4.4833720536062726E-6</v>
      </c>
      <c r="G187" s="3">
        <f t="shared" si="17"/>
        <v>4.8005413032807936E-6</v>
      </c>
    </row>
    <row r="188" spans="1:7" x14ac:dyDescent="0.25">
      <c r="A188" s="3">
        <v>180</v>
      </c>
      <c r="B188" s="3">
        <f t="shared" si="12"/>
        <v>825.86845293871943</v>
      </c>
      <c r="C188" s="3">
        <f t="shared" si="13"/>
        <v>3.3920958372640078E-5</v>
      </c>
      <c r="D188" s="3">
        <f t="shared" si="14"/>
        <v>49174.131513140288</v>
      </c>
      <c r="E188" s="3">
        <f t="shared" si="15"/>
        <v>-2.8014249413410963E-7</v>
      </c>
      <c r="F188" s="3">
        <f t="shared" si="16"/>
        <v>-3.9599773024459004E-6</v>
      </c>
      <c r="G188" s="3">
        <f t="shared" si="17"/>
        <v>4.2401197965800097E-6</v>
      </c>
    </row>
    <row r="189" spans="1:7" x14ac:dyDescent="0.25">
      <c r="A189" s="3">
        <v>181</v>
      </c>
      <c r="B189" s="3">
        <f t="shared" si="12"/>
        <v>825.86845265857698</v>
      </c>
      <c r="C189" s="3">
        <f t="shared" si="13"/>
        <v>2.9960981070194177E-5</v>
      </c>
      <c r="D189" s="3">
        <f t="shared" si="14"/>
        <v>49174.131517380411</v>
      </c>
      <c r="E189" s="3">
        <f t="shared" si="15"/>
        <v>-2.4743829076574181E-7</v>
      </c>
      <c r="F189" s="3">
        <f t="shared" si="16"/>
        <v>-3.4976843430085305E-6</v>
      </c>
      <c r="G189" s="3">
        <f t="shared" si="17"/>
        <v>3.7451226337742722E-6</v>
      </c>
    </row>
    <row r="190" spans="1:7" x14ac:dyDescent="0.25">
      <c r="A190" s="3">
        <v>182</v>
      </c>
      <c r="B190" s="3">
        <f t="shared" si="12"/>
        <v>825.86845241113872</v>
      </c>
      <c r="C190" s="3">
        <f t="shared" si="13"/>
        <v>2.6463296727185646E-5</v>
      </c>
      <c r="D190" s="3">
        <f t="shared" si="14"/>
        <v>49174.131521125535</v>
      </c>
      <c r="E190" s="3">
        <f t="shared" si="15"/>
        <v>-2.1855201913777565E-7</v>
      </c>
      <c r="F190" s="3">
        <f t="shared" si="16"/>
        <v>-3.0893600717604299E-6</v>
      </c>
      <c r="G190" s="3">
        <f t="shared" si="17"/>
        <v>3.3079120908982057E-6</v>
      </c>
    </row>
    <row r="191" spans="1:7" x14ac:dyDescent="0.25">
      <c r="A191" s="3">
        <v>183</v>
      </c>
      <c r="B191" s="3">
        <f t="shared" si="12"/>
        <v>825.86845219258669</v>
      </c>
      <c r="C191" s="3">
        <f t="shared" si="13"/>
        <v>2.3373936655425216E-5</v>
      </c>
      <c r="D191" s="3">
        <f t="shared" si="14"/>
        <v>49174.131524433447</v>
      </c>
      <c r="E191" s="3">
        <f t="shared" si="15"/>
        <v>-1.9303796887263592E-7</v>
      </c>
      <c r="F191" s="3">
        <f t="shared" si="16"/>
        <v>-2.728704113055516E-6</v>
      </c>
      <c r="G191" s="3">
        <f t="shared" si="17"/>
        <v>2.921742081928152E-6</v>
      </c>
    </row>
    <row r="192" spans="1:7" x14ac:dyDescent="0.25">
      <c r="A192" s="3">
        <v>184</v>
      </c>
      <c r="B192" s="3">
        <f t="shared" si="12"/>
        <v>825.86845199954871</v>
      </c>
      <c r="C192" s="3">
        <f t="shared" si="13"/>
        <v>2.0645232542369702E-5</v>
      </c>
      <c r="D192" s="3">
        <f t="shared" si="14"/>
        <v>49174.131527355188</v>
      </c>
      <c r="E192" s="3">
        <f t="shared" si="15"/>
        <v>-1.7050246240937574E-7</v>
      </c>
      <c r="F192" s="3">
        <f t="shared" si="16"/>
        <v>-2.4101516053868369E-6</v>
      </c>
      <c r="G192" s="3">
        <f t="shared" si="17"/>
        <v>2.5806540677962127E-6</v>
      </c>
    </row>
    <row r="193" spans="1:7" x14ac:dyDescent="0.25">
      <c r="A193" s="3">
        <v>185</v>
      </c>
      <c r="B193" s="3">
        <f t="shared" si="12"/>
        <v>825.86845182904619</v>
      </c>
      <c r="C193" s="3">
        <f t="shared" si="13"/>
        <v>1.8235080936982865E-5</v>
      </c>
      <c r="D193" s="3">
        <f t="shared" si="14"/>
        <v>49174.131529935839</v>
      </c>
      <c r="E193" s="3">
        <f t="shared" si="15"/>
        <v>-1.5059778062403395E-7</v>
      </c>
      <c r="F193" s="3">
        <f t="shared" si="16"/>
        <v>-2.1287873364988241E-6</v>
      </c>
      <c r="G193" s="3">
        <f t="shared" si="17"/>
        <v>2.2793851171228582E-6</v>
      </c>
    </row>
    <row r="194" spans="1:7" x14ac:dyDescent="0.25">
      <c r="A194" s="3">
        <v>186</v>
      </c>
      <c r="B194" s="3">
        <f t="shared" si="12"/>
        <v>825.86845167844842</v>
      </c>
      <c r="C194" s="3">
        <f t="shared" si="13"/>
        <v>1.6106293600484041E-5</v>
      </c>
      <c r="D194" s="3">
        <f t="shared" si="14"/>
        <v>49174.131532215222</v>
      </c>
      <c r="E194" s="3">
        <f t="shared" si="15"/>
        <v>-1.330167975811026E-7</v>
      </c>
      <c r="F194" s="3">
        <f t="shared" si="16"/>
        <v>-1.8802699024794025E-6</v>
      </c>
      <c r="G194" s="3">
        <f t="shared" si="17"/>
        <v>2.0132867000605051E-6</v>
      </c>
    </row>
    <row r="195" spans="1:7" x14ac:dyDescent="0.25">
      <c r="A195" s="3">
        <v>187</v>
      </c>
      <c r="B195" s="3">
        <f t="shared" si="12"/>
        <v>825.86845154543164</v>
      </c>
      <c r="C195" s="3">
        <f t="shared" si="13"/>
        <v>1.4226023698004639E-5</v>
      </c>
      <c r="D195" s="3">
        <f t="shared" si="14"/>
        <v>49174.131534228509</v>
      </c>
      <c r="E195" s="3">
        <f t="shared" si="15"/>
        <v>-1.1748824163119707E-7</v>
      </c>
      <c r="F195" s="3">
        <f t="shared" si="16"/>
        <v>-1.6607647206193829E-6</v>
      </c>
      <c r="G195" s="3">
        <f t="shared" si="17"/>
        <v>1.7782529622505799E-6</v>
      </c>
    </row>
    <row r="196" spans="1:7" x14ac:dyDescent="0.25">
      <c r="A196" s="3">
        <v>188</v>
      </c>
      <c r="B196" s="3">
        <f t="shared" si="12"/>
        <v>825.86845142794334</v>
      </c>
      <c r="C196" s="3">
        <f t="shared" si="13"/>
        <v>1.2565258977385256E-5</v>
      </c>
      <c r="D196" s="3">
        <f t="shared" si="14"/>
        <v>49174.13153600676</v>
      </c>
      <c r="E196" s="3">
        <f t="shared" si="15"/>
        <v>-1.0377250973444225E-7</v>
      </c>
      <c r="F196" s="3">
        <f t="shared" si="16"/>
        <v>-1.4668848624387148E-6</v>
      </c>
      <c r="G196" s="3">
        <f t="shared" si="17"/>
        <v>1.570657372173157E-6</v>
      </c>
    </row>
    <row r="197" spans="1:7" x14ac:dyDescent="0.25">
      <c r="A197" s="3">
        <v>189</v>
      </c>
      <c r="B197" s="3">
        <f t="shared" si="12"/>
        <v>825.86845132417079</v>
      </c>
      <c r="C197" s="3">
        <f t="shared" si="13"/>
        <v>1.1098374114946541E-5</v>
      </c>
      <c r="D197" s="3">
        <f t="shared" si="14"/>
        <v>49174.131537577421</v>
      </c>
      <c r="E197" s="3">
        <f t="shared" si="15"/>
        <v>-9.1657970425271655E-8</v>
      </c>
      <c r="F197" s="3">
        <f t="shared" si="16"/>
        <v>-1.295638793943046E-6</v>
      </c>
      <c r="G197" s="3">
        <f t="shared" si="17"/>
        <v>1.3872967643683176E-6</v>
      </c>
    </row>
    <row r="198" spans="1:7" x14ac:dyDescent="0.25">
      <c r="A198" s="3">
        <v>190</v>
      </c>
      <c r="B198" s="3">
        <f t="shared" si="12"/>
        <v>825.86845123251283</v>
      </c>
      <c r="C198" s="3">
        <f t="shared" si="13"/>
        <v>9.8027353210034956E-6</v>
      </c>
      <c r="D198" s="3">
        <f t="shared" si="14"/>
        <v>49174.131538964721</v>
      </c>
      <c r="E198" s="3">
        <f t="shared" si="15"/>
        <v>-8.0957698373994076E-8</v>
      </c>
      <c r="F198" s="3">
        <f t="shared" si="16"/>
        <v>-1.1443842167514429E-6</v>
      </c>
      <c r="G198" s="3">
        <f t="shared" si="17"/>
        <v>1.2253419151254369E-6</v>
      </c>
    </row>
    <row r="199" spans="1:7" x14ac:dyDescent="0.25">
      <c r="A199" s="3">
        <v>191</v>
      </c>
      <c r="B199" s="3">
        <f t="shared" si="12"/>
        <v>825.86845115155518</v>
      </c>
      <c r="C199" s="3">
        <f t="shared" si="13"/>
        <v>8.6583511042520521E-6</v>
      </c>
      <c r="D199" s="3">
        <f t="shared" si="14"/>
        <v>49174.131540190065</v>
      </c>
      <c r="E199" s="3">
        <f t="shared" si="15"/>
        <v>-7.1506590159950011E-8</v>
      </c>
      <c r="F199" s="3">
        <f t="shared" si="16"/>
        <v>-1.0107872978715566E-6</v>
      </c>
      <c r="G199" s="3">
        <f t="shared" si="17"/>
        <v>1.0822938880315065E-6</v>
      </c>
    </row>
    <row r="200" spans="1:7" x14ac:dyDescent="0.25">
      <c r="A200" s="3">
        <v>192</v>
      </c>
      <c r="B200" s="3">
        <f t="shared" si="12"/>
        <v>825.86845108004854</v>
      </c>
      <c r="C200" s="3">
        <f t="shared" si="13"/>
        <v>7.6475638063804953E-6</v>
      </c>
      <c r="D200" s="3">
        <f t="shared" si="14"/>
        <v>49174.131541272356</v>
      </c>
      <c r="E200" s="3">
        <f t="shared" si="15"/>
        <v>-6.3158816753113005E-8</v>
      </c>
      <c r="F200" s="3">
        <f t="shared" si="16"/>
        <v>-8.9278665904444895E-7</v>
      </c>
      <c r="G200" s="3">
        <f t="shared" si="17"/>
        <v>9.5594547579756191E-7</v>
      </c>
    </row>
    <row r="201" spans="1:7" x14ac:dyDescent="0.25">
      <c r="A201" s="3">
        <v>193</v>
      </c>
      <c r="B201" s="3">
        <f t="shared" si="12"/>
        <v>825.86845101688971</v>
      </c>
      <c r="C201" s="3">
        <f t="shared" si="13"/>
        <v>6.7547771473360462E-6</v>
      </c>
      <c r="D201" s="3">
        <f t="shared" si="14"/>
        <v>49174.131542228301</v>
      </c>
      <c r="E201" s="3">
        <f t="shared" si="15"/>
        <v>-5.5785573396347058E-8</v>
      </c>
      <c r="F201" s="3">
        <f t="shared" si="16"/>
        <v>-7.885615700206587E-7</v>
      </c>
      <c r="G201" s="3">
        <f t="shared" si="17"/>
        <v>8.4434714341700578E-7</v>
      </c>
    </row>
    <row r="202" spans="1:7" x14ac:dyDescent="0.25">
      <c r="A202" s="3">
        <v>194</v>
      </c>
      <c r="B202" s="3">
        <f t="shared" ref="B202:B265" si="18">B201+E201*1</f>
        <v>825.86845096110414</v>
      </c>
      <c r="C202" s="3">
        <f t="shared" ref="C202:C265" si="19">C201+F201*1</f>
        <v>5.9662155773153874E-6</v>
      </c>
      <c r="D202" s="3">
        <f t="shared" ref="D202:D265" si="20">D201+G201*1</f>
        <v>49174.131543072646</v>
      </c>
      <c r="E202" s="3">
        <f t="shared" ref="E202:E265" si="21">-0.00001*B202*C202</f>
        <v>-4.9273092169374684E-8</v>
      </c>
      <c r="F202" s="3">
        <f t="shared" ref="F202:F265" si="22">0.00001*B202*C202-(1/8)*C202</f>
        <v>-6.965038549950487E-7</v>
      </c>
      <c r="G202" s="3">
        <f t="shared" ref="G202:G265" si="23">(1/8)*C202</f>
        <v>7.4577694716442343E-7</v>
      </c>
    </row>
    <row r="203" spans="1:7" x14ac:dyDescent="0.25">
      <c r="A203" s="3">
        <v>195</v>
      </c>
      <c r="B203" s="3">
        <f t="shared" si="18"/>
        <v>825.86845091183102</v>
      </c>
      <c r="C203" s="3">
        <f t="shared" si="19"/>
        <v>5.2697117223203391E-6</v>
      </c>
      <c r="D203" s="3">
        <f t="shared" si="20"/>
        <v>49174.131543818425</v>
      </c>
      <c r="E203" s="3">
        <f t="shared" si="21"/>
        <v>-4.3520886568646159E-8</v>
      </c>
      <c r="F203" s="3">
        <f t="shared" si="22"/>
        <v>-6.1519307872139619E-7</v>
      </c>
      <c r="G203" s="3">
        <f t="shared" si="23"/>
        <v>6.5871396529004238E-7</v>
      </c>
    </row>
    <row r="204" spans="1:7" x14ac:dyDescent="0.25">
      <c r="A204" s="3">
        <v>196</v>
      </c>
      <c r="B204" s="3">
        <f t="shared" si="18"/>
        <v>825.86845086831011</v>
      </c>
      <c r="C204" s="3">
        <f t="shared" si="19"/>
        <v>4.654518643598943E-6</v>
      </c>
      <c r="D204" s="3">
        <f t="shared" si="20"/>
        <v>49174.131544477139</v>
      </c>
      <c r="E204" s="3">
        <f t="shared" si="21"/>
        <v>-3.844020101726727E-8</v>
      </c>
      <c r="F204" s="3">
        <f t="shared" si="22"/>
        <v>-5.4337462943260062E-7</v>
      </c>
      <c r="G204" s="3">
        <f t="shared" si="23"/>
        <v>5.8181483044986787E-7</v>
      </c>
    </row>
    <row r="205" spans="1:7" x14ac:dyDescent="0.25">
      <c r="A205" s="3">
        <v>197</v>
      </c>
      <c r="B205" s="3">
        <f t="shared" si="18"/>
        <v>825.86845082986986</v>
      </c>
      <c r="C205" s="3">
        <f t="shared" si="19"/>
        <v>4.1111440141663421E-6</v>
      </c>
      <c r="D205" s="3">
        <f t="shared" si="20"/>
        <v>49174.131545058954</v>
      </c>
      <c r="E205" s="3">
        <f t="shared" si="21"/>
        <v>-3.3952641381180497E-8</v>
      </c>
      <c r="F205" s="3">
        <f t="shared" si="22"/>
        <v>-4.7994036038961232E-7</v>
      </c>
      <c r="G205" s="3">
        <f t="shared" si="23"/>
        <v>5.1389300177079277E-7</v>
      </c>
    </row>
    <row r="206" spans="1:7" x14ac:dyDescent="0.25">
      <c r="A206" s="3">
        <v>198</v>
      </c>
      <c r="B206" s="3">
        <f t="shared" si="18"/>
        <v>825.86845079591717</v>
      </c>
      <c r="C206" s="3">
        <f t="shared" si="19"/>
        <v>3.6312036537767297E-6</v>
      </c>
      <c r="D206" s="3">
        <f t="shared" si="20"/>
        <v>49174.131545572847</v>
      </c>
      <c r="E206" s="3">
        <f t="shared" si="21"/>
        <v>-2.9988965360690621E-8</v>
      </c>
      <c r="F206" s="3">
        <f t="shared" si="22"/>
        <v>-4.2391149136140058E-7</v>
      </c>
      <c r="G206" s="3">
        <f t="shared" si="23"/>
        <v>4.5390045672209121E-7</v>
      </c>
    </row>
    <row r="207" spans="1:7" x14ac:dyDescent="0.25">
      <c r="A207" s="3">
        <v>199</v>
      </c>
      <c r="B207" s="3">
        <f t="shared" si="18"/>
        <v>825.86845076592817</v>
      </c>
      <c r="C207" s="3">
        <f t="shared" si="19"/>
        <v>3.207292162415329E-6</v>
      </c>
      <c r="D207" s="3">
        <f t="shared" si="20"/>
        <v>49174.131546026751</v>
      </c>
      <c r="E207" s="3">
        <f t="shared" si="21"/>
        <v>-2.6488014093276519E-8</v>
      </c>
      <c r="F207" s="3">
        <f t="shared" si="22"/>
        <v>-3.7442350620863962E-7</v>
      </c>
      <c r="G207" s="3">
        <f t="shared" si="23"/>
        <v>4.0091152030191612E-7</v>
      </c>
    </row>
    <row r="208" spans="1:7" x14ac:dyDescent="0.25">
      <c r="A208" s="3">
        <v>200</v>
      </c>
      <c r="B208" s="3">
        <f t="shared" si="18"/>
        <v>825.86845073944016</v>
      </c>
      <c r="C208" s="3">
        <f t="shared" si="19"/>
        <v>2.8328686562066894E-6</v>
      </c>
      <c r="D208" s="3">
        <f t="shared" si="20"/>
        <v>49174.131546427663</v>
      </c>
      <c r="E208" s="3">
        <f t="shared" si="21"/>
        <v>-2.3395768482497388E-8</v>
      </c>
      <c r="F208" s="3">
        <f t="shared" si="22"/>
        <v>-3.3071281354333877E-7</v>
      </c>
      <c r="G208" s="3">
        <f t="shared" si="23"/>
        <v>3.5410858202583618E-7</v>
      </c>
    </row>
    <row r="209" spans="1:7" x14ac:dyDescent="0.25">
      <c r="A209" s="3">
        <v>201</v>
      </c>
      <c r="B209" s="3">
        <f t="shared" si="18"/>
        <v>825.86845071604444</v>
      </c>
      <c r="C209" s="3">
        <f t="shared" si="19"/>
        <v>2.5021558426633505E-6</v>
      </c>
      <c r="D209" s="3">
        <f t="shared" si="20"/>
        <v>49174.131546781769</v>
      </c>
      <c r="E209" s="3">
        <f t="shared" si="21"/>
        <v>-2.0664515692304798E-8</v>
      </c>
      <c r="F209" s="3">
        <f t="shared" si="22"/>
        <v>-2.9210496464061402E-7</v>
      </c>
      <c r="G209" s="3">
        <f t="shared" si="23"/>
        <v>3.1276948033291882E-7</v>
      </c>
    </row>
    <row r="210" spans="1:7" x14ac:dyDescent="0.25">
      <c r="A210" s="3">
        <v>202</v>
      </c>
      <c r="B210" s="3">
        <f t="shared" si="18"/>
        <v>825.86845069537992</v>
      </c>
      <c r="C210" s="3">
        <f t="shared" si="19"/>
        <v>2.2100508780227366E-6</v>
      </c>
      <c r="D210" s="3">
        <f t="shared" si="20"/>
        <v>49174.131547094541</v>
      </c>
      <c r="E210" s="3">
        <f t="shared" si="21"/>
        <v>-1.8252112945906017E-8</v>
      </c>
      <c r="F210" s="3">
        <f t="shared" si="22"/>
        <v>-2.5800424680693605E-7</v>
      </c>
      <c r="G210" s="3">
        <f t="shared" si="23"/>
        <v>2.7625635975284208E-7</v>
      </c>
    </row>
    <row r="211" spans="1:7" x14ac:dyDescent="0.25">
      <c r="A211" s="3">
        <v>203</v>
      </c>
      <c r="B211" s="3">
        <f t="shared" si="18"/>
        <v>825.86845067712784</v>
      </c>
      <c r="C211" s="3">
        <f t="shared" si="19"/>
        <v>1.9520466312158007E-6</v>
      </c>
      <c r="D211" s="3">
        <f t="shared" si="20"/>
        <v>49174.131547370795</v>
      </c>
      <c r="E211" s="3">
        <f t="shared" si="21"/>
        <v>-1.6121337269717E-8</v>
      </c>
      <c r="F211" s="3">
        <f t="shared" si="22"/>
        <v>-2.2788449163225809E-7</v>
      </c>
      <c r="G211" s="3">
        <f t="shared" si="23"/>
        <v>2.4400582890197508E-7</v>
      </c>
    </row>
    <row r="212" spans="1:7" x14ac:dyDescent="0.25">
      <c r="A212" s="3">
        <v>204</v>
      </c>
      <c r="B212" s="3">
        <f t="shared" si="18"/>
        <v>825.86845066100648</v>
      </c>
      <c r="C212" s="3">
        <f t="shared" si="19"/>
        <v>1.7241621395835425E-6</v>
      </c>
      <c r="D212" s="3">
        <f t="shared" si="20"/>
        <v>49174.131547614801</v>
      </c>
      <c r="E212" s="3">
        <f t="shared" si="21"/>
        <v>-1.4239311149062263E-8</v>
      </c>
      <c r="F212" s="3">
        <f t="shared" si="22"/>
        <v>-2.0128095629888054E-7</v>
      </c>
      <c r="G212" s="3">
        <f t="shared" si="23"/>
        <v>2.1552026744794282E-7</v>
      </c>
    </row>
    <row r="213" spans="1:7" x14ac:dyDescent="0.25">
      <c r="A213" s="3">
        <v>205</v>
      </c>
      <c r="B213" s="3">
        <f t="shared" si="18"/>
        <v>825.8684506467672</v>
      </c>
      <c r="C213" s="3">
        <f t="shared" si="19"/>
        <v>1.522881183284662E-6</v>
      </c>
      <c r="D213" s="3">
        <f t="shared" si="20"/>
        <v>49174.131547830322</v>
      </c>
      <c r="E213" s="3">
        <f t="shared" si="21"/>
        <v>-1.2576995233584194E-8</v>
      </c>
      <c r="F213" s="3">
        <f t="shared" si="22"/>
        <v>-1.7778315267699857E-7</v>
      </c>
      <c r="G213" s="3">
        <f t="shared" si="23"/>
        <v>1.9036014791058275E-7</v>
      </c>
    </row>
    <row r="214" spans="1:7" x14ac:dyDescent="0.25">
      <c r="A214" s="3">
        <v>206</v>
      </c>
      <c r="B214" s="3">
        <f t="shared" si="18"/>
        <v>825.86845063419025</v>
      </c>
      <c r="C214" s="3">
        <f t="shared" si="19"/>
        <v>1.3450980306076634E-6</v>
      </c>
      <c r="D214" s="3">
        <f t="shared" si="20"/>
        <v>49174.131548020683</v>
      </c>
      <c r="E214" s="3">
        <f t="shared" si="21"/>
        <v>-1.1108740264890516E-8</v>
      </c>
      <c r="F214" s="3">
        <f t="shared" si="22"/>
        <v>-1.570285135610674E-7</v>
      </c>
      <c r="G214" s="3">
        <f t="shared" si="23"/>
        <v>1.6813725382595793E-7</v>
      </c>
    </row>
    <row r="215" spans="1:7" x14ac:dyDescent="0.25">
      <c r="A215" s="3">
        <v>207</v>
      </c>
      <c r="B215" s="3">
        <f t="shared" si="18"/>
        <v>825.86845062308146</v>
      </c>
      <c r="C215" s="3">
        <f t="shared" si="19"/>
        <v>1.1880695170465961E-6</v>
      </c>
      <c r="D215" s="3">
        <f t="shared" si="20"/>
        <v>49174.131548188823</v>
      </c>
      <c r="E215" s="3">
        <f t="shared" si="21"/>
        <v>-9.8118913127578503E-9</v>
      </c>
      <c r="F215" s="3">
        <f t="shared" si="22"/>
        <v>-1.3869679831806666E-7</v>
      </c>
      <c r="G215" s="3">
        <f t="shared" si="23"/>
        <v>1.4850868963082451E-7</v>
      </c>
    </row>
    <row r="216" spans="1:7" x14ac:dyDescent="0.25">
      <c r="A216" s="3">
        <v>208</v>
      </c>
      <c r="B216" s="3">
        <f t="shared" si="18"/>
        <v>825.8684506132696</v>
      </c>
      <c r="C216" s="3">
        <f t="shared" si="19"/>
        <v>1.0493727187285294E-6</v>
      </c>
      <c r="D216" s="3">
        <f t="shared" si="20"/>
        <v>49174.131548337333</v>
      </c>
      <c r="E216" s="3">
        <f t="shared" si="21"/>
        <v>-8.6664382133216515E-9</v>
      </c>
      <c r="F216" s="3">
        <f t="shared" si="22"/>
        <v>-1.2250515162774452E-7</v>
      </c>
      <c r="G216" s="3">
        <f t="shared" si="23"/>
        <v>1.3117158984106618E-7</v>
      </c>
    </row>
    <row r="217" spans="1:7" x14ac:dyDescent="0.25">
      <c r="A217" s="3">
        <v>209</v>
      </c>
      <c r="B217" s="3">
        <f t="shared" si="18"/>
        <v>825.86845060460314</v>
      </c>
      <c r="C217" s="3">
        <f t="shared" si="19"/>
        <v>9.2686756710078491E-7</v>
      </c>
      <c r="D217" s="3">
        <f t="shared" si="20"/>
        <v>49174.131548468504</v>
      </c>
      <c r="E217" s="3">
        <f t="shared" si="21"/>
        <v>-7.6547068155718328E-9</v>
      </c>
      <c r="F217" s="3">
        <f t="shared" si="22"/>
        <v>-1.0820373907202628E-7</v>
      </c>
      <c r="G217" s="3">
        <f t="shared" si="23"/>
        <v>1.1585844588759811E-7</v>
      </c>
    </row>
    <row r="218" spans="1:7" x14ac:dyDescent="0.25">
      <c r="A218" s="3">
        <v>210</v>
      </c>
      <c r="B218" s="3">
        <f t="shared" si="18"/>
        <v>825.86845059694838</v>
      </c>
      <c r="C218" s="3">
        <f t="shared" si="19"/>
        <v>8.1866382802875864E-7</v>
      </c>
      <c r="D218" s="3">
        <f t="shared" si="20"/>
        <v>49174.131548584359</v>
      </c>
      <c r="E218" s="3">
        <f t="shared" si="21"/>
        <v>-6.7610862721387747E-9</v>
      </c>
      <c r="F218" s="3">
        <f t="shared" si="22"/>
        <v>-9.557189223145605E-8</v>
      </c>
      <c r="G218" s="3">
        <f t="shared" si="23"/>
        <v>1.0233297850359483E-7</v>
      </c>
    </row>
    <row r="219" spans="1:7" x14ac:dyDescent="0.25">
      <c r="A219" s="3">
        <v>211</v>
      </c>
      <c r="B219" s="3">
        <f t="shared" si="18"/>
        <v>825.86845059018731</v>
      </c>
      <c r="C219" s="3">
        <f t="shared" si="19"/>
        <v>7.2309193579730256E-7</v>
      </c>
      <c r="D219" s="3">
        <f t="shared" si="20"/>
        <v>49174.131548686695</v>
      </c>
      <c r="E219" s="3">
        <f t="shared" si="21"/>
        <v>-5.9717881665117748E-9</v>
      </c>
      <c r="F219" s="3">
        <f t="shared" si="22"/>
        <v>-8.4414703808151051E-8</v>
      </c>
      <c r="G219" s="3">
        <f t="shared" si="23"/>
        <v>9.038649197466282E-8</v>
      </c>
    </row>
    <row r="220" spans="1:7" x14ac:dyDescent="0.25">
      <c r="A220" s="3">
        <v>212</v>
      </c>
      <c r="B220" s="3">
        <f t="shared" si="18"/>
        <v>825.86845058421557</v>
      </c>
      <c r="C220" s="3">
        <f t="shared" si="19"/>
        <v>6.3867723198915154E-7</v>
      </c>
      <c r="D220" s="3">
        <f t="shared" si="20"/>
        <v>49174.131548777084</v>
      </c>
      <c r="E220" s="3">
        <f t="shared" si="21"/>
        <v>-5.2746337600629623E-9</v>
      </c>
      <c r="F220" s="3">
        <f t="shared" si="22"/>
        <v>-7.4560020238580985E-8</v>
      </c>
      <c r="G220" s="3">
        <f t="shared" si="23"/>
        <v>7.9834653998643942E-8</v>
      </c>
    </row>
    <row r="221" spans="1:7" x14ac:dyDescent="0.25">
      <c r="A221" s="3">
        <v>213</v>
      </c>
      <c r="B221" s="3">
        <f t="shared" si="18"/>
        <v>825.86845057894095</v>
      </c>
      <c r="C221" s="3">
        <f t="shared" si="19"/>
        <v>5.641172117505706E-7</v>
      </c>
      <c r="D221" s="3">
        <f t="shared" si="20"/>
        <v>49174.131548856916</v>
      </c>
      <c r="E221" s="3">
        <f t="shared" si="21"/>
        <v>-4.6588660761335613E-9</v>
      </c>
      <c r="F221" s="3">
        <f t="shared" si="22"/>
        <v>-6.5855785392687762E-8</v>
      </c>
      <c r="G221" s="3">
        <f t="shared" si="23"/>
        <v>7.0514651468821326E-8</v>
      </c>
    </row>
    <row r="222" spans="1:7" x14ac:dyDescent="0.25">
      <c r="A222" s="3">
        <v>214</v>
      </c>
      <c r="B222" s="3">
        <f t="shared" si="18"/>
        <v>825.86845057428206</v>
      </c>
      <c r="C222" s="3">
        <f t="shared" si="19"/>
        <v>4.9826142635788286E-7</v>
      </c>
      <c r="D222" s="3">
        <f t="shared" si="20"/>
        <v>49174.131548927428</v>
      </c>
      <c r="E222" s="3">
        <f t="shared" si="21"/>
        <v>-4.1149839216711649E-9</v>
      </c>
      <c r="F222" s="3">
        <f t="shared" si="22"/>
        <v>-5.816769437306419E-8</v>
      </c>
      <c r="G222" s="3">
        <f t="shared" si="23"/>
        <v>6.2282678294735357E-8</v>
      </c>
    </row>
    <row r="223" spans="1:7" x14ac:dyDescent="0.25">
      <c r="A223" s="3">
        <v>215</v>
      </c>
      <c r="B223" s="3">
        <f t="shared" si="18"/>
        <v>825.86845057016706</v>
      </c>
      <c r="C223" s="3">
        <f t="shared" si="19"/>
        <v>4.4009373198481869E-7</v>
      </c>
      <c r="D223" s="3">
        <f t="shared" si="20"/>
        <v>49174.13154898971</v>
      </c>
      <c r="E223" s="3">
        <f t="shared" si="21"/>
        <v>-3.6345952853994466E-9</v>
      </c>
      <c r="F223" s="3">
        <f t="shared" si="22"/>
        <v>-5.137712121270289E-8</v>
      </c>
      <c r="G223" s="3">
        <f t="shared" si="23"/>
        <v>5.5011716498102336E-8</v>
      </c>
    </row>
    <row r="224" spans="1:7" x14ac:dyDescent="0.25">
      <c r="A224" s="3">
        <v>216</v>
      </c>
      <c r="B224" s="3">
        <f t="shared" si="18"/>
        <v>825.86845056653249</v>
      </c>
      <c r="C224" s="3">
        <f t="shared" si="19"/>
        <v>3.8871661077211578E-7</v>
      </c>
      <c r="D224" s="3">
        <f t="shared" si="20"/>
        <v>49174.131549044723</v>
      </c>
      <c r="E224" s="3">
        <f t="shared" si="21"/>
        <v>-3.2102878504784121E-9</v>
      </c>
      <c r="F224" s="3">
        <f t="shared" si="22"/>
        <v>-4.5379288496036058E-8</v>
      </c>
      <c r="G224" s="3">
        <f t="shared" si="23"/>
        <v>4.8589576346514473E-8</v>
      </c>
    </row>
    <row r="225" spans="1:7" x14ac:dyDescent="0.25">
      <c r="A225" s="3">
        <v>217</v>
      </c>
      <c r="B225" s="3">
        <f t="shared" si="18"/>
        <v>825.8684505633222</v>
      </c>
      <c r="C225" s="3">
        <f t="shared" si="19"/>
        <v>3.4333732227607972E-7</v>
      </c>
      <c r="D225" s="3">
        <f t="shared" si="20"/>
        <v>49174.131549093312</v>
      </c>
      <c r="E225" s="3">
        <f t="shared" si="21"/>
        <v>-2.8355146236870601E-9</v>
      </c>
      <c r="F225" s="3">
        <f t="shared" si="22"/>
        <v>-4.0081650660822907E-8</v>
      </c>
      <c r="G225" s="3">
        <f t="shared" si="23"/>
        <v>4.2917165284509966E-8</v>
      </c>
    </row>
    <row r="226" spans="1:7" x14ac:dyDescent="0.25">
      <c r="A226" s="3">
        <v>218</v>
      </c>
      <c r="B226" s="3">
        <f t="shared" si="18"/>
        <v>825.86845056048674</v>
      </c>
      <c r="C226" s="3">
        <f t="shared" si="19"/>
        <v>3.0325567161525683E-7</v>
      </c>
      <c r="D226" s="3">
        <f t="shared" si="20"/>
        <v>49174.131549136226</v>
      </c>
      <c r="E226" s="3">
        <f t="shared" si="21"/>
        <v>-2.5044929164057196E-9</v>
      </c>
      <c r="F226" s="3">
        <f t="shared" si="22"/>
        <v>-3.5402466035501385E-8</v>
      </c>
      <c r="G226" s="3">
        <f t="shared" si="23"/>
        <v>3.7906958951907104E-8</v>
      </c>
    </row>
    <row r="227" spans="1:7" x14ac:dyDescent="0.25">
      <c r="A227" s="3">
        <v>219</v>
      </c>
      <c r="B227" s="3">
        <f t="shared" si="18"/>
        <v>825.86845055798221</v>
      </c>
      <c r="C227" s="3">
        <f t="shared" si="19"/>
        <v>2.6785320557975545E-7</v>
      </c>
      <c r="D227" s="3">
        <f t="shared" si="20"/>
        <v>49174.131549174133</v>
      </c>
      <c r="E227" s="3">
        <f t="shared" si="21"/>
        <v>-2.2121151186914133E-9</v>
      </c>
      <c r="F227" s="3">
        <f t="shared" si="22"/>
        <v>-3.1269535578778019E-8</v>
      </c>
      <c r="G227" s="3">
        <f t="shared" si="23"/>
        <v>3.3481650697469431E-8</v>
      </c>
    </row>
    <row r="228" spans="1:7" x14ac:dyDescent="0.25">
      <c r="A228" s="3">
        <v>220</v>
      </c>
      <c r="B228" s="3">
        <f t="shared" si="18"/>
        <v>825.8684505557701</v>
      </c>
      <c r="C228" s="3">
        <f t="shared" si="19"/>
        <v>2.3658367000097741E-7</v>
      </c>
      <c r="D228" s="3">
        <f t="shared" si="20"/>
        <v>49174.131549207617</v>
      </c>
      <c r="E228" s="3">
        <f t="shared" si="21"/>
        <v>-1.9538698897050486E-9</v>
      </c>
      <c r="F228" s="3">
        <f t="shared" si="22"/>
        <v>-2.7619088860417129E-8</v>
      </c>
      <c r="G228" s="3">
        <f t="shared" si="23"/>
        <v>2.9572958750122177E-8</v>
      </c>
    </row>
    <row r="229" spans="1:7" x14ac:dyDescent="0.25">
      <c r="A229" s="3">
        <v>221</v>
      </c>
      <c r="B229" s="3">
        <f t="shared" si="18"/>
        <v>825.86845055381627</v>
      </c>
      <c r="C229" s="3">
        <f t="shared" si="19"/>
        <v>2.0896458114056028E-7</v>
      </c>
      <c r="D229" s="3">
        <f t="shared" si="20"/>
        <v>49174.131549237187</v>
      </c>
      <c r="E229" s="3">
        <f t="shared" si="21"/>
        <v>-1.7257725484718176E-9</v>
      </c>
      <c r="F229" s="3">
        <f t="shared" si="22"/>
        <v>-2.4394800094098217E-8</v>
      </c>
      <c r="G229" s="3">
        <f t="shared" si="23"/>
        <v>2.6120572642570035E-8</v>
      </c>
    </row>
    <row r="230" spans="1:7" x14ac:dyDescent="0.25">
      <c r="A230" s="3">
        <v>222</v>
      </c>
      <c r="B230" s="3">
        <f t="shared" si="18"/>
        <v>825.86845055209051</v>
      </c>
      <c r="C230" s="3">
        <f t="shared" si="19"/>
        <v>1.8456978104646205E-7</v>
      </c>
      <c r="D230" s="3">
        <f t="shared" si="20"/>
        <v>49174.131549263308</v>
      </c>
      <c r="E230" s="3">
        <f t="shared" si="21"/>
        <v>-1.5243035909158021E-9</v>
      </c>
      <c r="F230" s="3">
        <f t="shared" si="22"/>
        <v>-2.1546919039891955E-8</v>
      </c>
      <c r="G230" s="3">
        <f t="shared" si="23"/>
        <v>2.3071222630807756E-8</v>
      </c>
    </row>
    <row r="231" spans="1:7" x14ac:dyDescent="0.25">
      <c r="A231" s="3">
        <v>223</v>
      </c>
      <c r="B231" s="3">
        <f t="shared" si="18"/>
        <v>825.86845055056619</v>
      </c>
      <c r="C231" s="3">
        <f t="shared" si="19"/>
        <v>1.6302286200657011E-7</v>
      </c>
      <c r="D231" s="3">
        <f t="shared" si="20"/>
        <v>49174.13154928638</v>
      </c>
      <c r="E231" s="3">
        <f t="shared" si="21"/>
        <v>-1.3463543844968482E-9</v>
      </c>
      <c r="F231" s="3">
        <f t="shared" si="22"/>
        <v>-1.9031503366324417E-8</v>
      </c>
      <c r="G231" s="3">
        <f t="shared" si="23"/>
        <v>2.0377857750821264E-8</v>
      </c>
    </row>
    <row r="232" spans="1:7" x14ac:dyDescent="0.25">
      <c r="A232" s="3">
        <v>224</v>
      </c>
      <c r="B232" s="3">
        <f t="shared" si="18"/>
        <v>825.8684505492198</v>
      </c>
      <c r="C232" s="3">
        <f t="shared" si="19"/>
        <v>1.4399135864024569E-7</v>
      </c>
      <c r="D232" s="3">
        <f t="shared" si="20"/>
        <v>49174.13154930676</v>
      </c>
      <c r="E232" s="3">
        <f t="shared" si="21"/>
        <v>-1.1891792025269673E-9</v>
      </c>
      <c r="F232" s="3">
        <f t="shared" si="22"/>
        <v>-1.6809740627503745E-8</v>
      </c>
      <c r="G232" s="3">
        <f t="shared" si="23"/>
        <v>1.7998919830030712E-8</v>
      </c>
    </row>
    <row r="233" spans="1:7" x14ac:dyDescent="0.25">
      <c r="A233" s="3">
        <v>225</v>
      </c>
      <c r="B233" s="3">
        <f t="shared" si="18"/>
        <v>825.86845054803064</v>
      </c>
      <c r="C233" s="3">
        <f t="shared" si="19"/>
        <v>1.2718161801274194E-7</v>
      </c>
      <c r="D233" s="3">
        <f t="shared" si="20"/>
        <v>49174.13154932476</v>
      </c>
      <c r="E233" s="3">
        <f t="shared" si="21"/>
        <v>-1.0503528580637471E-9</v>
      </c>
      <c r="F233" s="3">
        <f t="shared" si="22"/>
        <v>-1.4847349393528995E-8</v>
      </c>
      <c r="G233" s="3">
        <f t="shared" si="23"/>
        <v>1.5897702251592743E-8</v>
      </c>
    </row>
    <row r="234" spans="1:7" x14ac:dyDescent="0.25">
      <c r="A234" s="3">
        <v>226</v>
      </c>
      <c r="B234" s="3">
        <f t="shared" si="18"/>
        <v>825.86845054698028</v>
      </c>
      <c r="C234" s="3">
        <f t="shared" si="19"/>
        <v>1.1233426861921295E-7</v>
      </c>
      <c r="D234" s="3">
        <f t="shared" si="20"/>
        <v>49174.131549340658</v>
      </c>
      <c r="E234" s="3">
        <f t="shared" si="21"/>
        <v>-9.2773328367877678E-10</v>
      </c>
      <c r="F234" s="3">
        <f t="shared" si="22"/>
        <v>-1.3114050293722843E-8</v>
      </c>
      <c r="G234" s="3">
        <f t="shared" si="23"/>
        <v>1.4041783577401619E-8</v>
      </c>
    </row>
    <row r="235" spans="1:7" x14ac:dyDescent="0.25">
      <c r="A235" s="3">
        <v>227</v>
      </c>
      <c r="B235" s="3">
        <f t="shared" si="18"/>
        <v>825.8684505460526</v>
      </c>
      <c r="C235" s="3">
        <f t="shared" si="19"/>
        <v>9.9220218325490113E-8</v>
      </c>
      <c r="D235" s="3">
        <f t="shared" si="20"/>
        <v>49174.131549354701</v>
      </c>
      <c r="E235" s="3">
        <f t="shared" si="21"/>
        <v>-8.1942847971313581E-10</v>
      </c>
      <c r="F235" s="3">
        <f t="shared" si="22"/>
        <v>-1.1583098810973128E-8</v>
      </c>
      <c r="G235" s="3">
        <f t="shared" si="23"/>
        <v>1.2402527290686264E-8</v>
      </c>
    </row>
    <row r="236" spans="1:7" x14ac:dyDescent="0.25">
      <c r="A236" s="3">
        <v>228</v>
      </c>
      <c r="B236" s="3">
        <f t="shared" si="18"/>
        <v>825.86845054523315</v>
      </c>
      <c r="C236" s="3">
        <f t="shared" si="19"/>
        <v>8.7637119514516983E-8</v>
      </c>
      <c r="D236" s="3">
        <f t="shared" si="20"/>
        <v>49174.131549367106</v>
      </c>
      <c r="E236" s="3">
        <f t="shared" si="21"/>
        <v>-7.2376732103701558E-10</v>
      </c>
      <c r="F236" s="3">
        <f t="shared" si="22"/>
        <v>-1.0230872618277608E-8</v>
      </c>
      <c r="G236" s="3">
        <f t="shared" si="23"/>
        <v>1.0954639939314623E-8</v>
      </c>
    </row>
    <row r="237" spans="1:7" x14ac:dyDescent="0.25">
      <c r="A237" s="3">
        <v>229</v>
      </c>
      <c r="B237" s="3">
        <f t="shared" si="18"/>
        <v>825.86845054450941</v>
      </c>
      <c r="C237" s="3">
        <f t="shared" si="19"/>
        <v>7.7406246896239372E-8</v>
      </c>
      <c r="D237" s="3">
        <f t="shared" si="20"/>
        <v>49174.131549378064</v>
      </c>
      <c r="E237" s="3">
        <f t="shared" si="21"/>
        <v>-6.3927377186662947E-10</v>
      </c>
      <c r="F237" s="3">
        <f t="shared" si="22"/>
        <v>-9.0365070901632924E-9</v>
      </c>
      <c r="G237" s="3">
        <f t="shared" si="23"/>
        <v>9.6757808620299215E-9</v>
      </c>
    </row>
    <row r="238" spans="1:7" x14ac:dyDescent="0.25">
      <c r="A238" s="3">
        <v>230</v>
      </c>
      <c r="B238" s="3">
        <f t="shared" si="18"/>
        <v>825.86845054387015</v>
      </c>
      <c r="C238" s="3">
        <f t="shared" si="19"/>
        <v>6.8369739806076074E-8</v>
      </c>
      <c r="D238" s="3">
        <f t="shared" si="20"/>
        <v>49174.131549387741</v>
      </c>
      <c r="E238" s="3">
        <f t="shared" si="21"/>
        <v>-5.6464411077731613E-10</v>
      </c>
      <c r="F238" s="3">
        <f t="shared" si="22"/>
        <v>-7.9815733649821935E-9</v>
      </c>
      <c r="G238" s="3">
        <f t="shared" si="23"/>
        <v>8.5462174757595093E-9</v>
      </c>
    </row>
    <row r="239" spans="1:7" x14ac:dyDescent="0.25">
      <c r="A239" s="3">
        <v>231</v>
      </c>
      <c r="B239" s="3">
        <f t="shared" si="18"/>
        <v>825.86845054330547</v>
      </c>
      <c r="C239" s="3">
        <f t="shared" si="19"/>
        <v>6.0388166441093881E-8</v>
      </c>
      <c r="D239" s="3">
        <f t="shared" si="20"/>
        <v>49174.13154939629</v>
      </c>
      <c r="E239" s="3">
        <f t="shared" si="21"/>
        <v>-4.9872681449857446E-10</v>
      </c>
      <c r="F239" s="3">
        <f t="shared" si="22"/>
        <v>-7.0497939906381608E-9</v>
      </c>
      <c r="G239" s="3">
        <f t="shared" si="23"/>
        <v>7.5485208051367351E-9</v>
      </c>
    </row>
    <row r="240" spans="1:7" x14ac:dyDescent="0.25">
      <c r="A240" s="3">
        <v>232</v>
      </c>
      <c r="B240" s="3">
        <f t="shared" si="18"/>
        <v>825.86845054280673</v>
      </c>
      <c r="C240" s="3">
        <f t="shared" si="19"/>
        <v>5.3338372450455718E-8</v>
      </c>
      <c r="D240" s="3">
        <f t="shared" si="20"/>
        <v>49174.131549403835</v>
      </c>
      <c r="E240" s="3">
        <f t="shared" si="21"/>
        <v>-4.4050479010132995E-10</v>
      </c>
      <c r="F240" s="3">
        <f t="shared" si="22"/>
        <v>-6.2267917662056352E-9</v>
      </c>
      <c r="G240" s="3">
        <f t="shared" si="23"/>
        <v>6.6672965563069648E-9</v>
      </c>
    </row>
    <row r="241" spans="1:7" x14ac:dyDescent="0.25">
      <c r="A241" s="3">
        <v>233</v>
      </c>
      <c r="B241" s="3">
        <f t="shared" si="18"/>
        <v>825.86845054236619</v>
      </c>
      <c r="C241" s="3">
        <f t="shared" si="19"/>
        <v>4.711158068425008E-8</v>
      </c>
      <c r="D241" s="3">
        <f t="shared" si="20"/>
        <v>49174.1315494105</v>
      </c>
      <c r="E241" s="3">
        <f t="shared" si="21"/>
        <v>-3.8907968142303281E-10</v>
      </c>
      <c r="F241" s="3">
        <f t="shared" si="22"/>
        <v>-5.4998679041082269E-9</v>
      </c>
      <c r="G241" s="3">
        <f t="shared" si="23"/>
        <v>5.88894758553126E-9</v>
      </c>
    </row>
    <row r="242" spans="1:7" x14ac:dyDescent="0.25">
      <c r="A242" s="3">
        <v>234</v>
      </c>
      <c r="B242" s="3">
        <f t="shared" si="18"/>
        <v>825.86845054197715</v>
      </c>
      <c r="C242" s="3">
        <f t="shared" si="19"/>
        <v>4.1611712780141852E-8</v>
      </c>
      <c r="D242" s="3">
        <f t="shared" si="20"/>
        <v>49174.131549416386</v>
      </c>
      <c r="E242" s="3">
        <f t="shared" si="21"/>
        <v>-3.4365800758133542E-10</v>
      </c>
      <c r="F242" s="3">
        <f t="shared" si="22"/>
        <v>-4.8578060899363964E-9</v>
      </c>
      <c r="G242" s="3">
        <f t="shared" si="23"/>
        <v>5.2014640975177315E-9</v>
      </c>
    </row>
    <row r="243" spans="1:7" x14ac:dyDescent="0.25">
      <c r="A243" s="3">
        <v>235</v>
      </c>
      <c r="B243" s="3">
        <f t="shared" si="18"/>
        <v>825.86845054163348</v>
      </c>
      <c r="C243" s="3">
        <f t="shared" si="19"/>
        <v>3.6753906690205455E-8</v>
      </c>
      <c r="D243" s="3">
        <f t="shared" si="20"/>
        <v>49174.131549421589</v>
      </c>
      <c r="E243" s="3">
        <f t="shared" si="21"/>
        <v>-3.0353891969591762E-10</v>
      </c>
      <c r="F243" s="3">
        <f t="shared" si="22"/>
        <v>-4.2906994165797645E-9</v>
      </c>
      <c r="G243" s="3">
        <f t="shared" si="23"/>
        <v>4.5942383362756818E-9</v>
      </c>
    </row>
    <row r="244" spans="1:7" x14ac:dyDescent="0.25">
      <c r="A244" s="3">
        <v>236</v>
      </c>
      <c r="B244" s="3">
        <f t="shared" si="18"/>
        <v>825.86845054132993</v>
      </c>
      <c r="C244" s="3">
        <f t="shared" si="19"/>
        <v>3.2463207273625689E-8</v>
      </c>
      <c r="D244" s="3">
        <f t="shared" si="20"/>
        <v>49174.13154942618</v>
      </c>
      <c r="E244" s="3">
        <f t="shared" si="21"/>
        <v>-2.6810338690671285E-10</v>
      </c>
      <c r="F244" s="3">
        <f t="shared" si="22"/>
        <v>-3.7897975222964982E-9</v>
      </c>
      <c r="G244" s="3">
        <f t="shared" si="23"/>
        <v>4.0579009092032112E-9</v>
      </c>
    </row>
    <row r="245" spans="1:7" x14ac:dyDescent="0.25">
      <c r="A245" s="3">
        <v>237</v>
      </c>
      <c r="B245" s="3">
        <f t="shared" si="18"/>
        <v>825.86845054106186</v>
      </c>
      <c r="C245" s="3">
        <f t="shared" si="19"/>
        <v>2.8673409751329192E-8</v>
      </c>
      <c r="D245" s="3">
        <f t="shared" si="20"/>
        <v>49174.13154943024</v>
      </c>
      <c r="E245" s="3">
        <f t="shared" si="21"/>
        <v>-2.3680464483059218E-10</v>
      </c>
      <c r="F245" s="3">
        <f t="shared" si="22"/>
        <v>-3.3473715740855567E-9</v>
      </c>
      <c r="G245" s="3">
        <f t="shared" si="23"/>
        <v>3.584176218916149E-9</v>
      </c>
    </row>
    <row r="246" spans="1:7" x14ac:dyDescent="0.25">
      <c r="A246" s="3">
        <v>238</v>
      </c>
      <c r="B246" s="3">
        <f t="shared" si="18"/>
        <v>825.86845054082505</v>
      </c>
      <c r="C246" s="3">
        <f t="shared" si="19"/>
        <v>2.5326038177243636E-8</v>
      </c>
      <c r="D246" s="3">
        <f t="shared" si="20"/>
        <v>49174.131549433827</v>
      </c>
      <c r="E246" s="3">
        <f t="shared" si="21"/>
        <v>-2.0915975907777982E-10</v>
      </c>
      <c r="F246" s="3">
        <f t="shared" si="22"/>
        <v>-2.9565950130776746E-9</v>
      </c>
      <c r="G246" s="3">
        <f t="shared" si="23"/>
        <v>3.1657547721554545E-9</v>
      </c>
    </row>
    <row r="247" spans="1:7" x14ac:dyDescent="0.25">
      <c r="A247" s="3">
        <v>239</v>
      </c>
      <c r="B247" s="3">
        <f t="shared" si="18"/>
        <v>825.86845054061587</v>
      </c>
      <c r="C247" s="3">
        <f t="shared" si="19"/>
        <v>2.2369443164165962E-8</v>
      </c>
      <c r="D247" s="3">
        <f t="shared" si="20"/>
        <v>49174.131549436992</v>
      </c>
      <c r="E247" s="3">
        <f t="shared" si="21"/>
        <v>-1.8474217365446117E-10</v>
      </c>
      <c r="F247" s="3">
        <f t="shared" si="22"/>
        <v>-2.6114382218662842E-9</v>
      </c>
      <c r="G247" s="3">
        <f t="shared" si="23"/>
        <v>2.7961803955207453E-9</v>
      </c>
    </row>
    <row r="248" spans="1:7" x14ac:dyDescent="0.25">
      <c r="A248" s="3">
        <v>240</v>
      </c>
      <c r="B248" s="3">
        <f t="shared" si="18"/>
        <v>825.86845054043113</v>
      </c>
      <c r="C248" s="3">
        <f t="shared" si="19"/>
        <v>1.9758004942299678E-8</v>
      </c>
      <c r="D248" s="3">
        <f t="shared" si="20"/>
        <v>49174.131549439786</v>
      </c>
      <c r="E248" s="3">
        <f t="shared" si="21"/>
        <v>-1.6317512927467217E-10</v>
      </c>
      <c r="F248" s="3">
        <f t="shared" si="22"/>
        <v>-2.3065754885127877E-9</v>
      </c>
      <c r="G248" s="3">
        <f t="shared" si="23"/>
        <v>2.4697506177874597E-9</v>
      </c>
    </row>
    <row r="249" spans="1:7" x14ac:dyDescent="0.25">
      <c r="A249" s="3">
        <v>241</v>
      </c>
      <c r="B249" s="3">
        <f t="shared" si="18"/>
        <v>825.86845054026799</v>
      </c>
      <c r="C249" s="3">
        <f t="shared" si="19"/>
        <v>1.745142945378689E-8</v>
      </c>
      <c r="D249" s="3">
        <f t="shared" si="20"/>
        <v>49174.131549442252</v>
      </c>
      <c r="E249" s="3">
        <f t="shared" si="21"/>
        <v>-1.4412585002711774E-10</v>
      </c>
      <c r="F249" s="3">
        <f t="shared" si="22"/>
        <v>-2.0373028316962434E-9</v>
      </c>
      <c r="G249" s="3">
        <f t="shared" si="23"/>
        <v>2.1814286817233612E-9</v>
      </c>
    </row>
    <row r="250" spans="1:7" x14ac:dyDescent="0.25">
      <c r="A250" s="3">
        <v>242</v>
      </c>
      <c r="B250" s="3">
        <f t="shared" si="18"/>
        <v>825.86845054012383</v>
      </c>
      <c r="C250" s="3">
        <f t="shared" si="19"/>
        <v>1.5414126622090645E-8</v>
      </c>
      <c r="D250" s="3">
        <f t="shared" si="20"/>
        <v>49174.131549444435</v>
      </c>
      <c r="E250" s="3">
        <f t="shared" si="21"/>
        <v>-1.2730040869815273E-10</v>
      </c>
      <c r="F250" s="3">
        <f t="shared" si="22"/>
        <v>-1.7994654190631779E-9</v>
      </c>
      <c r="G250" s="3">
        <f t="shared" si="23"/>
        <v>1.9267658277613306E-9</v>
      </c>
    </row>
    <row r="251" spans="1:7" x14ac:dyDescent="0.25">
      <c r="A251" s="3">
        <v>243</v>
      </c>
      <c r="B251" s="3">
        <f t="shared" si="18"/>
        <v>825.8684505399965</v>
      </c>
      <c r="C251" s="3">
        <f t="shared" si="19"/>
        <v>1.3614661203027467E-8</v>
      </c>
      <c r="D251" s="3">
        <f t="shared" si="20"/>
        <v>49174.131549446363</v>
      </c>
      <c r="E251" s="3">
        <f t="shared" si="21"/>
        <v>-1.12439191523713E-10</v>
      </c>
      <c r="F251" s="3">
        <f t="shared" si="22"/>
        <v>-1.5893934588547204E-9</v>
      </c>
      <c r="G251" s="3">
        <f t="shared" si="23"/>
        <v>1.7018326503784334E-9</v>
      </c>
    </row>
    <row r="252" spans="1:7" x14ac:dyDescent="0.25">
      <c r="A252" s="3">
        <v>244</v>
      </c>
      <c r="B252" s="3">
        <f t="shared" si="18"/>
        <v>825.86845053988407</v>
      </c>
      <c r="C252" s="3">
        <f t="shared" si="19"/>
        <v>1.2025267744172746E-8</v>
      </c>
      <c r="D252" s="3">
        <f t="shared" si="20"/>
        <v>49174.131549448066</v>
      </c>
      <c r="E252" s="3">
        <f t="shared" si="21"/>
        <v>-9.9312892392071933E-11</v>
      </c>
      <c r="F252" s="3">
        <f t="shared" si="22"/>
        <v>-1.4038455756295214E-9</v>
      </c>
      <c r="G252" s="3">
        <f t="shared" si="23"/>
        <v>1.5031584680215933E-9</v>
      </c>
    </row>
    <row r="253" spans="1:7" x14ac:dyDescent="0.25">
      <c r="A253" s="3">
        <v>245</v>
      </c>
      <c r="B253" s="3">
        <f t="shared" si="18"/>
        <v>825.8684505397847</v>
      </c>
      <c r="C253" s="3">
        <f t="shared" si="19"/>
        <v>1.0621422168543225E-8</v>
      </c>
      <c r="D253" s="3">
        <f t="shared" si="20"/>
        <v>49174.131549449572</v>
      </c>
      <c r="E253" s="3">
        <f t="shared" si="21"/>
        <v>-8.7718974688637138E-11</v>
      </c>
      <c r="F253" s="3">
        <f t="shared" si="22"/>
        <v>-1.239958796379266E-9</v>
      </c>
      <c r="G253" s="3">
        <f t="shared" si="23"/>
        <v>1.3276777710679031E-9</v>
      </c>
    </row>
    <row r="254" spans="1:7" x14ac:dyDescent="0.25">
      <c r="A254" s="3">
        <v>246</v>
      </c>
      <c r="B254" s="3">
        <f t="shared" si="18"/>
        <v>825.86845053969694</v>
      </c>
      <c r="C254" s="3">
        <f t="shared" si="19"/>
        <v>9.3814633721639582E-9</v>
      </c>
      <c r="D254" s="3">
        <f t="shared" si="20"/>
        <v>49174.131549450896</v>
      </c>
      <c r="E254" s="3">
        <f t="shared" si="21"/>
        <v>-7.7478546189639687E-11</v>
      </c>
      <c r="F254" s="3">
        <f t="shared" si="22"/>
        <v>-1.0952043753308551E-9</v>
      </c>
      <c r="G254" s="3">
        <f t="shared" si="23"/>
        <v>1.1726829215204948E-9</v>
      </c>
    </row>
    <row r="255" spans="1:7" x14ac:dyDescent="0.25">
      <c r="A255" s="3">
        <v>247</v>
      </c>
      <c r="B255" s="3">
        <f t="shared" si="18"/>
        <v>825.8684505396194</v>
      </c>
      <c r="C255" s="3">
        <f t="shared" si="19"/>
        <v>8.286258996833103E-9</v>
      </c>
      <c r="D255" s="3">
        <f t="shared" si="20"/>
        <v>49174.131549452068</v>
      </c>
      <c r="E255" s="3">
        <f t="shared" si="21"/>
        <v>-6.8433598784845353E-11</v>
      </c>
      <c r="F255" s="3">
        <f t="shared" si="22"/>
        <v>-9.6734877581929261E-10</v>
      </c>
      <c r="G255" s="3">
        <f t="shared" si="23"/>
        <v>1.0357823746041379E-9</v>
      </c>
    </row>
    <row r="256" spans="1:7" x14ac:dyDescent="0.25">
      <c r="A256" s="3">
        <v>248</v>
      </c>
      <c r="B256" s="3">
        <f t="shared" si="18"/>
        <v>825.86845053955096</v>
      </c>
      <c r="C256" s="3">
        <f t="shared" si="19"/>
        <v>7.3189102210138108E-9</v>
      </c>
      <c r="D256" s="3">
        <f t="shared" si="20"/>
        <v>49174.131549453101</v>
      </c>
      <c r="E256" s="3">
        <f t="shared" si="21"/>
        <v>-6.0444570438667594E-11</v>
      </c>
      <c r="F256" s="3">
        <f t="shared" si="22"/>
        <v>-8.5441920718805878E-10</v>
      </c>
      <c r="G256" s="3">
        <f t="shared" si="23"/>
        <v>9.1486377762672635E-10</v>
      </c>
    </row>
    <row r="257" spans="1:7" x14ac:dyDescent="0.25">
      <c r="A257" s="3">
        <v>249</v>
      </c>
      <c r="B257" s="3">
        <f t="shared" si="18"/>
        <v>825.86845053949048</v>
      </c>
      <c r="C257" s="3">
        <f t="shared" si="19"/>
        <v>6.4644910138257517E-9</v>
      </c>
      <c r="D257" s="3">
        <f t="shared" si="20"/>
        <v>49174.131549454018</v>
      </c>
      <c r="E257" s="3">
        <f t="shared" si="21"/>
        <v>-5.3388191771147338E-11</v>
      </c>
      <c r="F257" s="3">
        <f t="shared" si="22"/>
        <v>-7.5467318495707167E-10</v>
      </c>
      <c r="G257" s="3">
        <f t="shared" si="23"/>
        <v>8.0806137672821897E-10</v>
      </c>
    </row>
    <row r="258" spans="1:7" x14ac:dyDescent="0.25">
      <c r="A258" s="3">
        <v>250</v>
      </c>
      <c r="B258" s="3">
        <f t="shared" si="18"/>
        <v>825.86845053943705</v>
      </c>
      <c r="C258" s="3">
        <f t="shared" si="19"/>
        <v>5.7098178288686805E-9</v>
      </c>
      <c r="D258" s="3">
        <f t="shared" si="20"/>
        <v>49174.131549454825</v>
      </c>
      <c r="E258" s="3">
        <f t="shared" si="21"/>
        <v>-4.71555840319023E-11</v>
      </c>
      <c r="F258" s="3">
        <f t="shared" si="22"/>
        <v>-6.6657164457668277E-10</v>
      </c>
      <c r="G258" s="3">
        <f t="shared" si="23"/>
        <v>7.1372722860858506E-10</v>
      </c>
    </row>
    <row r="259" spans="1:7" x14ac:dyDescent="0.25">
      <c r="A259" s="3">
        <v>251</v>
      </c>
      <c r="B259" s="3">
        <f t="shared" si="18"/>
        <v>825.86845053938987</v>
      </c>
      <c r="C259" s="3">
        <f t="shared" si="19"/>
        <v>5.0432461842919973E-9</v>
      </c>
      <c r="D259" s="3">
        <f t="shared" si="20"/>
        <v>49174.131549455538</v>
      </c>
      <c r="E259" s="3">
        <f t="shared" si="21"/>
        <v>-4.165057911909922E-11</v>
      </c>
      <c r="F259" s="3">
        <f t="shared" si="22"/>
        <v>-5.8875519391740043E-10</v>
      </c>
      <c r="G259" s="3">
        <f t="shared" si="23"/>
        <v>6.3040577303649966E-10</v>
      </c>
    </row>
    <row r="260" spans="1:7" x14ac:dyDescent="0.25">
      <c r="A260" s="3">
        <v>252</v>
      </c>
      <c r="B260" s="3">
        <f t="shared" si="18"/>
        <v>825.86845053934826</v>
      </c>
      <c r="C260" s="3">
        <f t="shared" si="19"/>
        <v>4.4544909903745971E-9</v>
      </c>
      <c r="D260" s="3">
        <f t="shared" si="20"/>
        <v>49174.131549456171</v>
      </c>
      <c r="E260" s="3">
        <f t="shared" si="21"/>
        <v>-3.6788235721621554E-11</v>
      </c>
      <c r="F260" s="3">
        <f t="shared" si="22"/>
        <v>-5.2002313807520309E-10</v>
      </c>
      <c r="G260" s="3">
        <f t="shared" si="23"/>
        <v>5.5681137379682463E-10</v>
      </c>
    </row>
    <row r="261" spans="1:7" x14ac:dyDescent="0.25">
      <c r="A261" s="3">
        <v>253</v>
      </c>
      <c r="B261" s="3">
        <f t="shared" si="18"/>
        <v>825.86845053931143</v>
      </c>
      <c r="C261" s="3">
        <f t="shared" si="19"/>
        <v>3.9344678522993943E-9</v>
      </c>
      <c r="D261" s="3">
        <f t="shared" si="20"/>
        <v>49174.131549456732</v>
      </c>
      <c r="E261" s="3">
        <f t="shared" si="21"/>
        <v>-3.2493528688752335E-11</v>
      </c>
      <c r="F261" s="3">
        <f t="shared" si="22"/>
        <v>-4.5931495284867196E-10</v>
      </c>
      <c r="G261" s="3">
        <f t="shared" si="23"/>
        <v>4.9180848153742429E-10</v>
      </c>
    </row>
    <row r="262" spans="1:7" x14ac:dyDescent="0.25">
      <c r="A262" s="3">
        <v>254</v>
      </c>
      <c r="B262" s="3">
        <f t="shared" si="18"/>
        <v>825.86845053927891</v>
      </c>
      <c r="C262" s="3">
        <f t="shared" si="19"/>
        <v>3.4751528994507223E-9</v>
      </c>
      <c r="D262" s="3">
        <f t="shared" si="20"/>
        <v>49174.131549457226</v>
      </c>
      <c r="E262" s="3">
        <f t="shared" si="21"/>
        <v>-2.8700191404564511E-11</v>
      </c>
      <c r="F262" s="3">
        <f t="shared" si="22"/>
        <v>-4.0569392102677579E-10</v>
      </c>
      <c r="G262" s="3">
        <f t="shared" si="23"/>
        <v>4.3439411243134029E-10</v>
      </c>
    </row>
    <row r="263" spans="1:7" x14ac:dyDescent="0.25">
      <c r="A263" s="3">
        <v>255</v>
      </c>
      <c r="B263" s="3">
        <f t="shared" si="18"/>
        <v>825.86845053925026</v>
      </c>
      <c r="C263" s="3">
        <f t="shared" si="19"/>
        <v>3.0694589784239466E-9</v>
      </c>
      <c r="D263" s="3">
        <f t="shared" si="20"/>
        <v>49174.131549457663</v>
      </c>
      <c r="E263" s="3">
        <f t="shared" si="21"/>
        <v>-2.5349693305047749E-11</v>
      </c>
      <c r="F263" s="3">
        <f t="shared" si="22"/>
        <v>-3.5833267899794559E-10</v>
      </c>
      <c r="G263" s="3">
        <f t="shared" si="23"/>
        <v>3.8368237230299332E-10</v>
      </c>
    </row>
    <row r="264" spans="1:7" x14ac:dyDescent="0.25">
      <c r="A264" s="3">
        <v>256</v>
      </c>
      <c r="B264" s="3">
        <f t="shared" si="18"/>
        <v>825.86845053922491</v>
      </c>
      <c r="C264" s="3">
        <f t="shared" si="19"/>
        <v>2.7111262994260012E-9</v>
      </c>
      <c r="D264" s="3">
        <f t="shared" si="20"/>
        <v>49174.131549458049</v>
      </c>
      <c r="E264" s="3">
        <f t="shared" si="21"/>
        <v>-2.2390336761230943E-11</v>
      </c>
      <c r="F264" s="3">
        <f t="shared" si="22"/>
        <v>-3.165004506670192E-10</v>
      </c>
      <c r="G264" s="3">
        <f t="shared" si="23"/>
        <v>3.3889078742825014E-10</v>
      </c>
    </row>
    <row r="265" spans="1:7" x14ac:dyDescent="0.25">
      <c r="A265" s="3">
        <v>257</v>
      </c>
      <c r="B265" s="3">
        <f t="shared" si="18"/>
        <v>825.86845053920251</v>
      </c>
      <c r="C265" s="3">
        <f t="shared" si="19"/>
        <v>2.3946258487589821E-9</v>
      </c>
      <c r="D265" s="3">
        <f t="shared" si="20"/>
        <v>49174.131549458391</v>
      </c>
      <c r="E265" s="3">
        <f t="shared" si="21"/>
        <v>-1.9776459393357035E-11</v>
      </c>
      <c r="F265" s="3">
        <f t="shared" si="22"/>
        <v>-2.7955177170151575E-10</v>
      </c>
      <c r="G265" s="3">
        <f t="shared" si="23"/>
        <v>2.9932823109487276E-10</v>
      </c>
    </row>
    <row r="266" spans="1:7" x14ac:dyDescent="0.25">
      <c r="A266" s="3">
        <v>258</v>
      </c>
      <c r="B266" s="3">
        <f t="shared" ref="B266:B329" si="24">B265+E265*1</f>
        <v>825.86845053918273</v>
      </c>
      <c r="C266" s="3">
        <f t="shared" ref="C266:C329" si="25">C265+F265*1</f>
        <v>2.1150740770574665E-9</v>
      </c>
      <c r="D266" s="3">
        <f t="shared" ref="D266:D329" si="26">D265+G265*1</f>
        <v>49174.131549458689</v>
      </c>
      <c r="E266" s="3">
        <f t="shared" ref="E266:E329" si="27">-0.00001*B266*C266</f>
        <v>-1.7467729507950421E-11</v>
      </c>
      <c r="F266" s="3">
        <f t="shared" ref="F266:F329" si="28">0.00001*B266*C266-(1/8)*C266</f>
        <v>-2.4691653012423287E-10</v>
      </c>
      <c r="G266" s="3">
        <f t="shared" ref="G266:G329" si="29">(1/8)*C266</f>
        <v>2.6438425963218331E-10</v>
      </c>
    </row>
    <row r="267" spans="1:7" x14ac:dyDescent="0.25">
      <c r="A267" s="3">
        <v>259</v>
      </c>
      <c r="B267" s="3">
        <f t="shared" si="24"/>
        <v>825.86845053916522</v>
      </c>
      <c r="C267" s="3">
        <f t="shared" si="25"/>
        <v>1.8681575469332336E-9</v>
      </c>
      <c r="D267" s="3">
        <f t="shared" si="26"/>
        <v>49174.131549458951</v>
      </c>
      <c r="E267" s="3">
        <f t="shared" si="27"/>
        <v>-1.5428523786487975E-11</v>
      </c>
      <c r="F267" s="3">
        <f t="shared" si="28"/>
        <v>-2.1809116958016622E-10</v>
      </c>
      <c r="G267" s="3">
        <f t="shared" si="29"/>
        <v>2.335196933666542E-10</v>
      </c>
    </row>
    <row r="268" spans="1:7" x14ac:dyDescent="0.25">
      <c r="A268" s="3">
        <v>260</v>
      </c>
      <c r="B268" s="3">
        <f t="shared" si="24"/>
        <v>825.86845053914976</v>
      </c>
      <c r="C268" s="3">
        <f t="shared" si="25"/>
        <v>1.6500663773530674E-9</v>
      </c>
      <c r="D268" s="3">
        <f t="shared" si="26"/>
        <v>49174.131549459184</v>
      </c>
      <c r="E268" s="3">
        <f t="shared" si="27"/>
        <v>-1.3627377623513259E-11</v>
      </c>
      <c r="F268" s="3">
        <f t="shared" si="28"/>
        <v>-1.9263091954562018E-10</v>
      </c>
      <c r="G268" s="3">
        <f t="shared" si="29"/>
        <v>2.0625829716913343E-10</v>
      </c>
    </row>
    <row r="269" spans="1:7" x14ac:dyDescent="0.25">
      <c r="A269" s="3">
        <v>261</v>
      </c>
      <c r="B269" s="3">
        <f t="shared" si="24"/>
        <v>825.86845053913612</v>
      </c>
      <c r="C269" s="3">
        <f t="shared" si="25"/>
        <v>1.4574354578074473E-9</v>
      </c>
      <c r="D269" s="3">
        <f t="shared" si="26"/>
        <v>49174.131549459387</v>
      </c>
      <c r="E269" s="3">
        <f t="shared" si="27"/>
        <v>-1.203649963300233E-11</v>
      </c>
      <c r="F269" s="3">
        <f t="shared" si="28"/>
        <v>-1.7014293259292857E-10</v>
      </c>
      <c r="G269" s="3">
        <f t="shared" si="29"/>
        <v>1.8217943222593091E-10</v>
      </c>
    </row>
    <row r="270" spans="1:7" x14ac:dyDescent="0.25">
      <c r="A270" s="3">
        <v>262</v>
      </c>
      <c r="B270" s="3">
        <f t="shared" si="24"/>
        <v>825.86845053912407</v>
      </c>
      <c r="C270" s="3">
        <f t="shared" si="25"/>
        <v>1.2872925252145187E-9</v>
      </c>
      <c r="D270" s="3">
        <f t="shared" si="26"/>
        <v>49174.131549459569</v>
      </c>
      <c r="E270" s="3">
        <f t="shared" si="27"/>
        <v>-1.063134283189511E-11</v>
      </c>
      <c r="F270" s="3">
        <f t="shared" si="28"/>
        <v>-1.5028022281991973E-10</v>
      </c>
      <c r="G270" s="3">
        <f t="shared" si="29"/>
        <v>1.6091156565181484E-10</v>
      </c>
    </row>
    <row r="271" spans="1:7" x14ac:dyDescent="0.25">
      <c r="A271" s="3">
        <v>263</v>
      </c>
      <c r="B271" s="3">
        <f t="shared" si="24"/>
        <v>825.86845053911338</v>
      </c>
      <c r="C271" s="3">
        <f t="shared" si="25"/>
        <v>1.137012302394599E-9</v>
      </c>
      <c r="D271" s="3">
        <f t="shared" si="26"/>
        <v>49174.131549459729</v>
      </c>
      <c r="E271" s="3">
        <f t="shared" si="27"/>
        <v>-9.3902258842253738E-12</v>
      </c>
      <c r="F271" s="3">
        <f t="shared" si="28"/>
        <v>-1.3273631191509952E-10</v>
      </c>
      <c r="G271" s="3">
        <f t="shared" si="29"/>
        <v>1.4212653779932488E-10</v>
      </c>
    </row>
    <row r="272" spans="1:7" x14ac:dyDescent="0.25">
      <c r="A272" s="3">
        <v>264</v>
      </c>
      <c r="B272" s="3">
        <f t="shared" si="24"/>
        <v>825.86845053910395</v>
      </c>
      <c r="C272" s="3">
        <f t="shared" si="25"/>
        <v>1.0042759904794995E-9</v>
      </c>
      <c r="D272" s="3">
        <f t="shared" si="26"/>
        <v>49174.131549459875</v>
      </c>
      <c r="E272" s="3">
        <f t="shared" si="27"/>
        <v>-8.293998561709282E-12</v>
      </c>
      <c r="F272" s="3">
        <f t="shared" si="28"/>
        <v>-1.1724050024822817E-10</v>
      </c>
      <c r="G272" s="3">
        <f t="shared" si="29"/>
        <v>1.2553449880993744E-10</v>
      </c>
    </row>
    <row r="273" spans="1:7" x14ac:dyDescent="0.25">
      <c r="A273" s="3">
        <v>265</v>
      </c>
      <c r="B273" s="3">
        <f t="shared" si="24"/>
        <v>825.86845053909565</v>
      </c>
      <c r="C273" s="3">
        <f t="shared" si="25"/>
        <v>8.8703549023127136E-10</v>
      </c>
      <c r="D273" s="3">
        <f t="shared" si="26"/>
        <v>49174.131549459998</v>
      </c>
      <c r="E273" s="3">
        <f t="shared" si="27"/>
        <v>-7.325746258904873E-12</v>
      </c>
      <c r="F273" s="3">
        <f t="shared" si="28"/>
        <v>-1.0355369002000405E-10</v>
      </c>
      <c r="G273" s="3">
        <f t="shared" si="29"/>
        <v>1.1087943627890892E-10</v>
      </c>
    </row>
    <row r="274" spans="1:7" x14ac:dyDescent="0.25">
      <c r="A274" s="3">
        <v>266</v>
      </c>
      <c r="B274" s="3">
        <f t="shared" si="24"/>
        <v>825.86845053908837</v>
      </c>
      <c r="C274" s="3">
        <f t="shared" si="25"/>
        <v>7.8348180021126733E-10</v>
      </c>
      <c r="D274" s="3">
        <f t="shared" si="26"/>
        <v>49174.131549460108</v>
      </c>
      <c r="E274" s="3">
        <f t="shared" si="27"/>
        <v>-6.4705290036605502E-12</v>
      </c>
      <c r="F274" s="3">
        <f t="shared" si="28"/>
        <v>-9.1464696022747864E-11</v>
      </c>
      <c r="G274" s="3">
        <f t="shared" si="29"/>
        <v>9.7935225026408416E-11</v>
      </c>
    </row>
    <row r="275" spans="1:7" x14ac:dyDescent="0.25">
      <c r="A275" s="3">
        <v>267</v>
      </c>
      <c r="B275" s="3">
        <f t="shared" si="24"/>
        <v>825.86845053908189</v>
      </c>
      <c r="C275" s="3">
        <f t="shared" si="25"/>
        <v>6.9201710418851946E-10</v>
      </c>
      <c r="D275" s="3">
        <f t="shared" si="26"/>
        <v>49174.131549460202</v>
      </c>
      <c r="E275" s="3">
        <f t="shared" si="27"/>
        <v>-5.7151509358271501E-12</v>
      </c>
      <c r="F275" s="3">
        <f t="shared" si="28"/>
        <v>-8.078698708773778E-11</v>
      </c>
      <c r="G275" s="3">
        <f t="shared" si="29"/>
        <v>8.6502138023564933E-11</v>
      </c>
    </row>
    <row r="276" spans="1:7" x14ac:dyDescent="0.25">
      <c r="A276" s="3">
        <v>268</v>
      </c>
      <c r="B276" s="3">
        <f t="shared" si="24"/>
        <v>825.86845053907621</v>
      </c>
      <c r="C276" s="3">
        <f t="shared" si="25"/>
        <v>6.1123011710078167E-10</v>
      </c>
      <c r="D276" s="3">
        <f t="shared" si="26"/>
        <v>49174.13154946029</v>
      </c>
      <c r="E276" s="3">
        <f t="shared" si="27"/>
        <v>-5.0479566973284073E-12</v>
      </c>
      <c r="F276" s="3">
        <f t="shared" si="28"/>
        <v>-7.1355807940269298E-11</v>
      </c>
      <c r="G276" s="3">
        <f t="shared" si="29"/>
        <v>7.6403764637597709E-11</v>
      </c>
    </row>
    <row r="277" spans="1:7" x14ac:dyDescent="0.25">
      <c r="A277" s="3">
        <v>269</v>
      </c>
      <c r="B277" s="3">
        <f t="shared" si="24"/>
        <v>825.8684505390712</v>
      </c>
      <c r="C277" s="3">
        <f t="shared" si="25"/>
        <v>5.3987430916051237E-10</v>
      </c>
      <c r="D277" s="3">
        <f t="shared" si="26"/>
        <v>49174.13154946037</v>
      </c>
      <c r="E277" s="3">
        <f t="shared" si="27"/>
        <v>-4.4586515919224386E-12</v>
      </c>
      <c r="F277" s="3">
        <f t="shared" si="28"/>
        <v>-6.3025637053141607E-11</v>
      </c>
      <c r="G277" s="3">
        <f t="shared" si="29"/>
        <v>6.7484288645064047E-11</v>
      </c>
    </row>
    <row r="278" spans="1:7" x14ac:dyDescent="0.25">
      <c r="A278" s="3">
        <v>270</v>
      </c>
      <c r="B278" s="3">
        <f t="shared" si="24"/>
        <v>825.86845053906677</v>
      </c>
      <c r="C278" s="3">
        <f t="shared" si="25"/>
        <v>4.7684867210737075E-10</v>
      </c>
      <c r="D278" s="3">
        <f t="shared" si="26"/>
        <v>49174.131549460435</v>
      </c>
      <c r="E278" s="3">
        <f t="shared" si="27"/>
        <v>-3.9381427397492584E-12</v>
      </c>
      <c r="F278" s="3">
        <f t="shared" si="28"/>
        <v>-5.5667941273672086E-11</v>
      </c>
      <c r="G278" s="3">
        <f t="shared" si="29"/>
        <v>5.9606084013421344E-11</v>
      </c>
    </row>
    <row r="279" spans="1:7" x14ac:dyDescent="0.25">
      <c r="A279" s="3">
        <v>271</v>
      </c>
      <c r="B279" s="3">
        <f t="shared" si="24"/>
        <v>825.86845053906279</v>
      </c>
      <c r="C279" s="3">
        <f t="shared" si="25"/>
        <v>4.2118073083369867E-10</v>
      </c>
      <c r="D279" s="3">
        <f t="shared" si="26"/>
        <v>49174.131549460493</v>
      </c>
      <c r="E279" s="3">
        <f t="shared" si="27"/>
        <v>-3.4783987757053685E-12</v>
      </c>
      <c r="F279" s="3">
        <f t="shared" si="28"/>
        <v>-4.9169192578506968E-11</v>
      </c>
      <c r="G279" s="3">
        <f t="shared" si="29"/>
        <v>5.2647591354212334E-11</v>
      </c>
    </row>
    <row r="280" spans="1:7" x14ac:dyDescent="0.25">
      <c r="A280" s="3">
        <v>272</v>
      </c>
      <c r="B280" s="3">
        <f t="shared" si="24"/>
        <v>825.86845053905927</v>
      </c>
      <c r="C280" s="3">
        <f t="shared" si="25"/>
        <v>3.7201153825519172E-10</v>
      </c>
      <c r="D280" s="3">
        <f t="shared" si="26"/>
        <v>49174.131549460544</v>
      </c>
      <c r="E280" s="3">
        <f t="shared" si="27"/>
        <v>-3.0723259268146717E-12</v>
      </c>
      <c r="F280" s="3">
        <f t="shared" si="28"/>
        <v>-4.3429116355084292E-11</v>
      </c>
      <c r="G280" s="3">
        <f t="shared" si="29"/>
        <v>4.6501442281898965E-11</v>
      </c>
    </row>
    <row r="281" spans="1:7" x14ac:dyDescent="0.25">
      <c r="A281" s="3">
        <v>273</v>
      </c>
      <c r="B281" s="3">
        <f t="shared" si="24"/>
        <v>825.8684505390562</v>
      </c>
      <c r="C281" s="3">
        <f t="shared" si="25"/>
        <v>3.2858242190010743E-10</v>
      </c>
      <c r="D281" s="3">
        <f t="shared" si="26"/>
        <v>49174.131549460588</v>
      </c>
      <c r="E281" s="3">
        <f t="shared" si="27"/>
        <v>-2.713658556490122E-12</v>
      </c>
      <c r="F281" s="3">
        <f t="shared" si="28"/>
        <v>-3.8359144181023308E-11</v>
      </c>
      <c r="G281" s="3">
        <f t="shared" si="29"/>
        <v>4.1072802737513428E-11</v>
      </c>
    </row>
    <row r="282" spans="1:7" x14ac:dyDescent="0.25">
      <c r="A282" s="3">
        <v>274</v>
      </c>
      <c r="B282" s="3">
        <f t="shared" si="24"/>
        <v>825.86845053905347</v>
      </c>
      <c r="C282" s="3">
        <f t="shared" si="25"/>
        <v>2.9022327771908414E-10</v>
      </c>
      <c r="D282" s="3">
        <f t="shared" si="26"/>
        <v>49174.131549460632</v>
      </c>
      <c r="E282" s="3">
        <f t="shared" si="27"/>
        <v>-2.3968624868022543E-12</v>
      </c>
      <c r="F282" s="3">
        <f t="shared" si="28"/>
        <v>-3.3881047228083261E-11</v>
      </c>
      <c r="G282" s="3">
        <f t="shared" si="29"/>
        <v>3.6277909714885517E-11</v>
      </c>
    </row>
    <row r="283" spans="1:7" x14ac:dyDescent="0.25">
      <c r="A283" s="3">
        <v>275</v>
      </c>
      <c r="B283" s="3">
        <f t="shared" si="24"/>
        <v>825.86845053905108</v>
      </c>
      <c r="C283" s="3">
        <f t="shared" si="25"/>
        <v>2.5634223049100089E-10</v>
      </c>
      <c r="D283" s="3">
        <f t="shared" si="26"/>
        <v>49174.131549460668</v>
      </c>
      <c r="E283" s="3">
        <f t="shared" si="27"/>
        <v>-2.1170496070332719E-12</v>
      </c>
      <c r="F283" s="3">
        <f t="shared" si="28"/>
        <v>-2.9925729204341842E-11</v>
      </c>
      <c r="G283" s="3">
        <f t="shared" si="29"/>
        <v>3.2042778811375111E-11</v>
      </c>
    </row>
    <row r="284" spans="1:7" x14ac:dyDescent="0.25">
      <c r="A284" s="3">
        <v>276</v>
      </c>
      <c r="B284" s="3">
        <f t="shared" si="24"/>
        <v>825.86845053904892</v>
      </c>
      <c r="C284" s="3">
        <f t="shared" si="25"/>
        <v>2.2641650128665905E-10</v>
      </c>
      <c r="D284" s="3">
        <f t="shared" si="26"/>
        <v>49174.131549460697</v>
      </c>
      <c r="E284" s="3">
        <f t="shared" si="27"/>
        <v>-1.8699024509408571E-12</v>
      </c>
      <c r="F284" s="3">
        <f t="shared" si="28"/>
        <v>-2.6432160209891525E-11</v>
      </c>
      <c r="G284" s="3">
        <f t="shared" si="29"/>
        <v>2.8302062660832381E-11</v>
      </c>
    </row>
    <row r="285" spans="1:7" x14ac:dyDescent="0.25">
      <c r="A285" s="3">
        <v>277</v>
      </c>
      <c r="B285" s="3">
        <f t="shared" si="24"/>
        <v>825.8684505390471</v>
      </c>
      <c r="C285" s="3">
        <f t="shared" si="25"/>
        <v>1.9998434107676751E-10</v>
      </c>
      <c r="D285" s="3">
        <f t="shared" si="26"/>
        <v>49174.131549460726</v>
      </c>
      <c r="E285" s="3">
        <f t="shared" si="27"/>
        <v>-1.651607578971423E-12</v>
      </c>
      <c r="F285" s="3">
        <f t="shared" si="28"/>
        <v>-2.3346435055624516E-11</v>
      </c>
      <c r="G285" s="3">
        <f t="shared" si="29"/>
        <v>2.4998042634595939E-11</v>
      </c>
    </row>
    <row r="286" spans="1:7" x14ac:dyDescent="0.25">
      <c r="A286" s="3">
        <v>278</v>
      </c>
      <c r="B286" s="3">
        <f t="shared" si="24"/>
        <v>825.8684505390454</v>
      </c>
      <c r="C286" s="3">
        <f t="shared" si="25"/>
        <v>1.7663790602114299E-10</v>
      </c>
      <c r="D286" s="3">
        <f t="shared" si="26"/>
        <v>49174.131549460748</v>
      </c>
      <c r="E286" s="3">
        <f t="shared" si="27"/>
        <v>-1.4587967375214287E-12</v>
      </c>
      <c r="F286" s="3">
        <f t="shared" si="28"/>
        <v>-2.0620941515121443E-11</v>
      </c>
      <c r="G286" s="3">
        <f t="shared" si="29"/>
        <v>2.2079738252642873E-11</v>
      </c>
    </row>
    <row r="287" spans="1:7" x14ac:dyDescent="0.25">
      <c r="A287" s="3">
        <v>279</v>
      </c>
      <c r="B287" s="3">
        <f t="shared" si="24"/>
        <v>825.86845053904392</v>
      </c>
      <c r="C287" s="3">
        <f t="shared" si="25"/>
        <v>1.5601696450602154E-10</v>
      </c>
      <c r="D287" s="3">
        <f t="shared" si="26"/>
        <v>49174.13154946077</v>
      </c>
      <c r="E287" s="3">
        <f t="shared" si="27"/>
        <v>-1.2884948873439303E-12</v>
      </c>
      <c r="F287" s="3">
        <f t="shared" si="28"/>
        <v>-1.8213625675908762E-11</v>
      </c>
      <c r="G287" s="3">
        <f t="shared" si="29"/>
        <v>1.9502120563252692E-11</v>
      </c>
    </row>
    <row r="288" spans="1:7" x14ac:dyDescent="0.25">
      <c r="A288" s="3">
        <v>280</v>
      </c>
      <c r="B288" s="3">
        <f t="shared" si="24"/>
        <v>825.86845053904267</v>
      </c>
      <c r="C288" s="3">
        <f t="shared" si="25"/>
        <v>1.3780333883011277E-10</v>
      </c>
      <c r="D288" s="3">
        <f t="shared" si="26"/>
        <v>49174.131549460792</v>
      </c>
      <c r="E288" s="3">
        <f t="shared" si="27"/>
        <v>-1.1380742991873194E-12</v>
      </c>
      <c r="F288" s="3">
        <f t="shared" si="28"/>
        <v>-1.6087343054576776E-11</v>
      </c>
      <c r="G288" s="3">
        <f t="shared" si="29"/>
        <v>1.7225417353764096E-11</v>
      </c>
    </row>
    <row r="289" spans="1:7" x14ac:dyDescent="0.25">
      <c r="A289" s="3">
        <v>281</v>
      </c>
      <c r="B289" s="3">
        <f t="shared" si="24"/>
        <v>825.86845053904153</v>
      </c>
      <c r="C289" s="3">
        <f t="shared" si="25"/>
        <v>1.2171599577553599E-10</v>
      </c>
      <c r="D289" s="3">
        <f t="shared" si="26"/>
        <v>49174.131549460806</v>
      </c>
      <c r="E289" s="3">
        <f t="shared" si="27"/>
        <v>-1.0052140083695845E-12</v>
      </c>
      <c r="F289" s="3">
        <f t="shared" si="28"/>
        <v>-1.4209285463572415E-11</v>
      </c>
      <c r="G289" s="3">
        <f t="shared" si="29"/>
        <v>1.5214499471941999E-11</v>
      </c>
    </row>
    <row r="290" spans="1:7" x14ac:dyDescent="0.25">
      <c r="A290" s="3">
        <v>282</v>
      </c>
      <c r="B290" s="3">
        <f t="shared" si="24"/>
        <v>825.86845053904051</v>
      </c>
      <c r="C290" s="3">
        <f t="shared" si="25"/>
        <v>1.0750671031196358E-10</v>
      </c>
      <c r="D290" s="3">
        <f t="shared" si="26"/>
        <v>49174.131549460821</v>
      </c>
      <c r="E290" s="3">
        <f t="shared" si="27"/>
        <v>-8.8786400267890853E-13</v>
      </c>
      <c r="F290" s="3">
        <f t="shared" si="28"/>
        <v>-1.255047478631654E-11</v>
      </c>
      <c r="G290" s="3">
        <f t="shared" si="29"/>
        <v>1.3438338788995448E-11</v>
      </c>
    </row>
    <row r="291" spans="1:7" x14ac:dyDescent="0.25">
      <c r="A291" s="3">
        <v>283</v>
      </c>
      <c r="B291" s="3">
        <f t="shared" si="24"/>
        <v>825.8684505390396</v>
      </c>
      <c r="C291" s="3">
        <f t="shared" si="25"/>
        <v>9.4956235525647047E-11</v>
      </c>
      <c r="D291" s="3">
        <f t="shared" si="26"/>
        <v>49174.131549460835</v>
      </c>
      <c r="E291" s="3">
        <f t="shared" si="27"/>
        <v>-7.8421359102586241E-13</v>
      </c>
      <c r="F291" s="3">
        <f t="shared" si="28"/>
        <v>-1.1085315849680018E-11</v>
      </c>
      <c r="G291" s="3">
        <f t="shared" si="29"/>
        <v>1.1869529440705881E-11</v>
      </c>
    </row>
    <row r="292" spans="1:7" x14ac:dyDescent="0.25">
      <c r="A292" s="3">
        <v>284</v>
      </c>
      <c r="B292" s="3">
        <f t="shared" si="24"/>
        <v>825.8684505390388</v>
      </c>
      <c r="C292" s="3">
        <f t="shared" si="25"/>
        <v>8.3870919675967031E-11</v>
      </c>
      <c r="D292" s="3">
        <f t="shared" si="26"/>
        <v>49174.13154946085</v>
      </c>
      <c r="E292" s="3">
        <f t="shared" si="27"/>
        <v>-6.9266346478075079E-13</v>
      </c>
      <c r="F292" s="3">
        <f t="shared" si="28"/>
        <v>-9.7912014947151283E-12</v>
      </c>
      <c r="G292" s="3">
        <f t="shared" si="29"/>
        <v>1.0483864959495879E-11</v>
      </c>
    </row>
    <row r="293" spans="1:7" x14ac:dyDescent="0.25">
      <c r="A293" s="3">
        <v>285</v>
      </c>
      <c r="B293" s="3">
        <f t="shared" si="24"/>
        <v>825.86845053903812</v>
      </c>
      <c r="C293" s="3">
        <f t="shared" si="25"/>
        <v>7.4079718181251903E-11</v>
      </c>
      <c r="D293" s="3">
        <f t="shared" si="26"/>
        <v>49174.131549460857</v>
      </c>
      <c r="E293" s="3">
        <f t="shared" si="27"/>
        <v>-6.1180102070719118E-13</v>
      </c>
      <c r="F293" s="3">
        <f t="shared" si="28"/>
        <v>-8.6481637519492967E-12</v>
      </c>
      <c r="G293" s="3">
        <f t="shared" si="29"/>
        <v>9.2599647726564879E-12</v>
      </c>
    </row>
    <row r="294" spans="1:7" x14ac:dyDescent="0.25">
      <c r="A294" s="3">
        <v>286</v>
      </c>
      <c r="B294" s="3">
        <f t="shared" si="24"/>
        <v>825.86845053903755</v>
      </c>
      <c r="C294" s="3">
        <f t="shared" si="25"/>
        <v>6.5431554429302608E-11</v>
      </c>
      <c r="D294" s="3">
        <f t="shared" si="26"/>
        <v>49174.131549460864</v>
      </c>
      <c r="E294" s="3">
        <f t="shared" si="27"/>
        <v>-5.4037856472888849E-13</v>
      </c>
      <c r="F294" s="3">
        <f t="shared" si="28"/>
        <v>-7.6385657389339372E-12</v>
      </c>
      <c r="G294" s="3">
        <f t="shared" si="29"/>
        <v>8.178944303662826E-12</v>
      </c>
    </row>
    <row r="295" spans="1:7" x14ac:dyDescent="0.25">
      <c r="A295" s="3">
        <v>287</v>
      </c>
      <c r="B295" s="3">
        <f t="shared" si="24"/>
        <v>825.86845053903698</v>
      </c>
      <c r="C295" s="3">
        <f t="shared" si="25"/>
        <v>5.7792988690368669E-11</v>
      </c>
      <c r="D295" s="3">
        <f t="shared" si="26"/>
        <v>49174.131549460872</v>
      </c>
      <c r="E295" s="3">
        <f t="shared" si="27"/>
        <v>-4.7729406021734865E-13</v>
      </c>
      <c r="F295" s="3">
        <f t="shared" si="28"/>
        <v>-6.7468295260787352E-12</v>
      </c>
      <c r="G295" s="3">
        <f t="shared" si="29"/>
        <v>7.2241235862960836E-12</v>
      </c>
    </row>
    <row r="296" spans="1:7" x14ac:dyDescent="0.25">
      <c r="A296" s="3">
        <v>288</v>
      </c>
      <c r="B296" s="3">
        <f t="shared" si="24"/>
        <v>825.86845053903653</v>
      </c>
      <c r="C296" s="3">
        <f t="shared" si="25"/>
        <v>5.1046159164289935E-11</v>
      </c>
      <c r="D296" s="3">
        <f t="shared" si="26"/>
        <v>49174.131549460879</v>
      </c>
      <c r="E296" s="3">
        <f t="shared" si="27"/>
        <v>-4.2157412374981167E-13</v>
      </c>
      <c r="F296" s="3">
        <f t="shared" si="28"/>
        <v>-5.9591957717864299E-12</v>
      </c>
      <c r="G296" s="3">
        <f t="shared" si="29"/>
        <v>6.3807698955362418E-12</v>
      </c>
    </row>
    <row r="297" spans="1:7" x14ac:dyDescent="0.25">
      <c r="A297" s="3">
        <v>289</v>
      </c>
      <c r="B297" s="3">
        <f t="shared" si="24"/>
        <v>825.86845053903608</v>
      </c>
      <c r="C297" s="3">
        <f t="shared" si="25"/>
        <v>4.5086963392503502E-11</v>
      </c>
      <c r="D297" s="3">
        <f t="shared" si="26"/>
        <v>49174.131549460886</v>
      </c>
      <c r="E297" s="3">
        <f t="shared" si="27"/>
        <v>-3.7235900596477114E-13</v>
      </c>
      <c r="F297" s="3">
        <f t="shared" si="28"/>
        <v>-5.2635114180981666E-12</v>
      </c>
      <c r="G297" s="3">
        <f t="shared" si="29"/>
        <v>5.6358704240629378E-12</v>
      </c>
    </row>
    <row r="298" spans="1:7" x14ac:dyDescent="0.25">
      <c r="A298" s="3">
        <v>290</v>
      </c>
      <c r="B298" s="3">
        <f t="shared" si="24"/>
        <v>825.86845053903573</v>
      </c>
      <c r="C298" s="3">
        <f t="shared" si="25"/>
        <v>3.9823451974405339E-11</v>
      </c>
      <c r="D298" s="3">
        <f t="shared" si="26"/>
        <v>49174.131549460893</v>
      </c>
      <c r="E298" s="3">
        <f t="shared" si="27"/>
        <v>-3.2888932577217844E-13</v>
      </c>
      <c r="F298" s="3">
        <f t="shared" si="28"/>
        <v>-4.6490421710284888E-12</v>
      </c>
      <c r="G298" s="3">
        <f t="shared" si="29"/>
        <v>4.9779314968006674E-12</v>
      </c>
    </row>
    <row r="299" spans="1:7" x14ac:dyDescent="0.25">
      <c r="A299" s="3">
        <v>291</v>
      </c>
      <c r="B299" s="3">
        <f t="shared" si="24"/>
        <v>825.86845053903539</v>
      </c>
      <c r="C299" s="3">
        <f t="shared" si="25"/>
        <v>3.5174409803376848E-11</v>
      </c>
      <c r="D299" s="3">
        <f t="shared" si="26"/>
        <v>49174.131549460901</v>
      </c>
      <c r="E299" s="3">
        <f t="shared" si="27"/>
        <v>-2.9049435322939898E-13</v>
      </c>
      <c r="F299" s="3">
        <f t="shared" si="28"/>
        <v>-4.1063068721927072E-12</v>
      </c>
      <c r="G299" s="3">
        <f t="shared" si="29"/>
        <v>4.396801225422106E-12</v>
      </c>
    </row>
    <row r="300" spans="1:7" x14ac:dyDescent="0.25">
      <c r="A300" s="3">
        <v>292</v>
      </c>
      <c r="B300" s="3">
        <f t="shared" si="24"/>
        <v>825.86845053903505</v>
      </c>
      <c r="C300" s="3">
        <f t="shared" si="25"/>
        <v>3.1068102931184143E-11</v>
      </c>
      <c r="D300" s="3">
        <f t="shared" si="26"/>
        <v>49174.131549460908</v>
      </c>
      <c r="E300" s="3">
        <f t="shared" si="27"/>
        <v>-2.5658166028964305E-13</v>
      </c>
      <c r="F300" s="3">
        <f t="shared" si="28"/>
        <v>-3.6269312061083747E-12</v>
      </c>
      <c r="G300" s="3">
        <f t="shared" si="29"/>
        <v>3.8835128663980179E-12</v>
      </c>
    </row>
    <row r="301" spans="1:7" x14ac:dyDescent="0.25">
      <c r="A301" s="3">
        <v>293</v>
      </c>
      <c r="B301" s="3">
        <f t="shared" si="24"/>
        <v>825.86845053903482</v>
      </c>
      <c r="C301" s="3">
        <f t="shared" si="25"/>
        <v>2.7441171725075769E-11</v>
      </c>
      <c r="D301" s="3">
        <f t="shared" si="26"/>
        <v>49174.131549460915</v>
      </c>
      <c r="E301" s="3">
        <f t="shared" si="27"/>
        <v>-2.2662797973563898E-13</v>
      </c>
      <c r="F301" s="3">
        <f t="shared" si="28"/>
        <v>-3.203518485898832E-12</v>
      </c>
      <c r="G301" s="3">
        <f t="shared" si="29"/>
        <v>3.4301464656344711E-12</v>
      </c>
    </row>
    <row r="302" spans="1:7" x14ac:dyDescent="0.25">
      <c r="A302" s="3">
        <v>294</v>
      </c>
      <c r="B302" s="3">
        <f t="shared" si="24"/>
        <v>825.8684505390346</v>
      </c>
      <c r="C302" s="3">
        <f t="shared" si="25"/>
        <v>2.4237653239176935E-11</v>
      </c>
      <c r="D302" s="3">
        <f t="shared" si="26"/>
        <v>49174.131549460915</v>
      </c>
      <c r="E302" s="3">
        <f t="shared" si="27"/>
        <v>-2.0017113125341469E-13</v>
      </c>
      <c r="F302" s="3">
        <f t="shared" si="28"/>
        <v>-2.8295355236437024E-12</v>
      </c>
      <c r="G302" s="3">
        <f t="shared" si="29"/>
        <v>3.0297066548971169E-12</v>
      </c>
    </row>
    <row r="303" spans="1:7" x14ac:dyDescent="0.25">
      <c r="A303" s="3">
        <v>295</v>
      </c>
      <c r="B303" s="3">
        <f t="shared" si="24"/>
        <v>825.86845053903437</v>
      </c>
      <c r="C303" s="3">
        <f t="shared" si="25"/>
        <v>2.1408117715533233E-11</v>
      </c>
      <c r="D303" s="3">
        <f t="shared" si="26"/>
        <v>49174.131549460915</v>
      </c>
      <c r="E303" s="3">
        <f t="shared" si="27"/>
        <v>-1.7680289006684685E-13</v>
      </c>
      <c r="F303" s="3">
        <f t="shared" si="28"/>
        <v>-2.4992118243748074E-12</v>
      </c>
      <c r="G303" s="3">
        <f t="shared" si="29"/>
        <v>2.6760147144416541E-12</v>
      </c>
    </row>
    <row r="304" spans="1:7" x14ac:dyDescent="0.25">
      <c r="A304" s="3">
        <v>296</v>
      </c>
      <c r="B304" s="3">
        <f t="shared" si="24"/>
        <v>825.86845053903414</v>
      </c>
      <c r="C304" s="3">
        <f t="shared" si="25"/>
        <v>1.8908905891158426E-11</v>
      </c>
      <c r="D304" s="3">
        <f t="shared" si="26"/>
        <v>49174.131549460915</v>
      </c>
      <c r="E304" s="3">
        <f t="shared" si="27"/>
        <v>-1.5616268809719426E-13</v>
      </c>
      <c r="F304" s="3">
        <f t="shared" si="28"/>
        <v>-2.2074505482976087E-12</v>
      </c>
      <c r="G304" s="3">
        <f t="shared" si="29"/>
        <v>2.3636132363948032E-12</v>
      </c>
    </row>
    <row r="305" spans="1:7" x14ac:dyDescent="0.25">
      <c r="A305" s="3">
        <v>297</v>
      </c>
      <c r="B305" s="3">
        <f t="shared" si="24"/>
        <v>825.86845053903403</v>
      </c>
      <c r="C305" s="3">
        <f t="shared" si="25"/>
        <v>1.6701455342860817E-11</v>
      </c>
      <c r="D305" s="3">
        <f t="shared" si="26"/>
        <v>49174.131549460915</v>
      </c>
      <c r="E305" s="3">
        <f t="shared" si="27"/>
        <v>-1.3793205045755336E-13</v>
      </c>
      <c r="F305" s="3">
        <f t="shared" si="28"/>
        <v>-1.9497498674000489E-12</v>
      </c>
      <c r="G305" s="3">
        <f t="shared" si="29"/>
        <v>2.0876819178576021E-12</v>
      </c>
    </row>
    <row r="306" spans="1:7" x14ac:dyDescent="0.25">
      <c r="A306" s="3">
        <v>298</v>
      </c>
      <c r="B306" s="3">
        <f t="shared" si="24"/>
        <v>825.86845053903392</v>
      </c>
      <c r="C306" s="3">
        <f t="shared" si="25"/>
        <v>1.4751705475460769E-11</v>
      </c>
      <c r="D306" s="3">
        <f t="shared" si="26"/>
        <v>49174.131549460915</v>
      </c>
      <c r="E306" s="3">
        <f t="shared" si="27"/>
        <v>-1.2182968143826968E-13</v>
      </c>
      <c r="F306" s="3">
        <f t="shared" si="28"/>
        <v>-1.7221335029943264E-12</v>
      </c>
      <c r="G306" s="3">
        <f t="shared" si="29"/>
        <v>1.8439631844325962E-12</v>
      </c>
    </row>
    <row r="307" spans="1:7" x14ac:dyDescent="0.25">
      <c r="A307" s="3">
        <v>299</v>
      </c>
      <c r="B307" s="3">
        <f t="shared" si="24"/>
        <v>825.8684505390338</v>
      </c>
      <c r="C307" s="3">
        <f t="shared" si="25"/>
        <v>1.3029571972466443E-11</v>
      </c>
      <c r="D307" s="3">
        <f t="shared" si="26"/>
        <v>49174.131549460915</v>
      </c>
      <c r="E307" s="3">
        <f t="shared" si="27"/>
        <v>-1.0760712416087686E-13</v>
      </c>
      <c r="F307" s="3">
        <f t="shared" si="28"/>
        <v>-1.5210893723974284E-12</v>
      </c>
      <c r="G307" s="3">
        <f t="shared" si="29"/>
        <v>1.6286964965583054E-12</v>
      </c>
    </row>
    <row r="308" spans="1:7" x14ac:dyDescent="0.25">
      <c r="A308" s="3">
        <v>300</v>
      </c>
      <c r="B308" s="3">
        <f t="shared" si="24"/>
        <v>825.86845053903369</v>
      </c>
      <c r="C308" s="3">
        <f t="shared" si="25"/>
        <v>1.1508482600069015E-11</v>
      </c>
      <c r="D308" s="3">
        <f t="shared" si="26"/>
        <v>49174.131549460915</v>
      </c>
      <c r="E308" s="3">
        <f t="shared" si="27"/>
        <v>-9.5044926929744282E-14</v>
      </c>
      <c r="F308" s="3">
        <f t="shared" si="28"/>
        <v>-1.3435153980788826E-12</v>
      </c>
      <c r="G308" s="3">
        <f t="shared" si="29"/>
        <v>1.4385603250086269E-12</v>
      </c>
    </row>
    <row r="309" spans="1:7" x14ac:dyDescent="0.25">
      <c r="A309" s="3">
        <v>301</v>
      </c>
      <c r="B309" s="3">
        <f t="shared" si="24"/>
        <v>825.86845053903357</v>
      </c>
      <c r="C309" s="3">
        <f t="shared" si="25"/>
        <v>1.0164967201990132E-11</v>
      </c>
      <c r="D309" s="3">
        <f t="shared" si="26"/>
        <v>49174.131549460915</v>
      </c>
      <c r="E309" s="3">
        <f t="shared" si="27"/>
        <v>-8.3949257128876862E-14</v>
      </c>
      <c r="F309" s="3">
        <f t="shared" si="28"/>
        <v>-1.1866716431198897E-12</v>
      </c>
      <c r="G309" s="3">
        <f t="shared" si="29"/>
        <v>1.2706209002487665E-12</v>
      </c>
    </row>
    <row r="310" spans="1:7" x14ac:dyDescent="0.25">
      <c r="A310" s="3">
        <v>302</v>
      </c>
      <c r="B310" s="3">
        <f t="shared" si="24"/>
        <v>825.86845053903346</v>
      </c>
      <c r="C310" s="3">
        <f t="shared" si="25"/>
        <v>8.9782955588702431E-12</v>
      </c>
      <c r="D310" s="3">
        <f t="shared" si="26"/>
        <v>49174.131549460915</v>
      </c>
      <c r="E310" s="3">
        <f t="shared" si="27"/>
        <v>-7.4148910416856543E-14</v>
      </c>
      <c r="F310" s="3">
        <f t="shared" si="28"/>
        <v>-1.0481380344419239E-12</v>
      </c>
      <c r="G310" s="3">
        <f t="shared" si="29"/>
        <v>1.1222869448587804E-12</v>
      </c>
    </row>
    <row r="311" spans="1:7" x14ac:dyDescent="0.25">
      <c r="A311" s="3">
        <v>303</v>
      </c>
      <c r="B311" s="3">
        <f t="shared" si="24"/>
        <v>825.86845053903335</v>
      </c>
      <c r="C311" s="3">
        <f t="shared" si="25"/>
        <v>7.9301575244283196E-12</v>
      </c>
      <c r="D311" s="3">
        <f t="shared" si="26"/>
        <v>49174.131549460915</v>
      </c>
      <c r="E311" s="3">
        <f t="shared" si="27"/>
        <v>-6.549266907230073E-14</v>
      </c>
      <c r="F311" s="3">
        <f t="shared" si="28"/>
        <v>-9.2577702148123912E-13</v>
      </c>
      <c r="G311" s="3">
        <f t="shared" si="29"/>
        <v>9.9126969055353995E-13</v>
      </c>
    </row>
    <row r="312" spans="1:7" x14ac:dyDescent="0.25">
      <c r="A312" s="3">
        <v>304</v>
      </c>
      <c r="B312" s="3">
        <f t="shared" si="24"/>
        <v>825.86845053903323</v>
      </c>
      <c r="C312" s="3">
        <f t="shared" si="25"/>
        <v>7.0043805029470801E-12</v>
      </c>
      <c r="D312" s="3">
        <f t="shared" si="26"/>
        <v>49174.131549460915</v>
      </c>
      <c r="E312" s="3">
        <f t="shared" si="27"/>
        <v>-5.784696872954719E-14</v>
      </c>
      <c r="F312" s="3">
        <f t="shared" si="28"/>
        <v>-8.1770059413883787E-13</v>
      </c>
      <c r="G312" s="3">
        <f t="shared" si="29"/>
        <v>8.7554756286838501E-13</v>
      </c>
    </row>
    <row r="313" spans="1:7" x14ac:dyDescent="0.25">
      <c r="A313" s="3">
        <v>305</v>
      </c>
      <c r="B313" s="3">
        <f t="shared" si="24"/>
        <v>825.86845053903312</v>
      </c>
      <c r="C313" s="3">
        <f t="shared" si="25"/>
        <v>6.186679908808242E-12</v>
      </c>
      <c r="D313" s="3">
        <f t="shared" si="26"/>
        <v>49174.131549460915</v>
      </c>
      <c r="E313" s="3">
        <f t="shared" si="27"/>
        <v>-5.1093837502684304E-14</v>
      </c>
      <c r="F313" s="3">
        <f t="shared" si="28"/>
        <v>-7.2224115109834592E-13</v>
      </c>
      <c r="G313" s="3">
        <f t="shared" si="29"/>
        <v>7.7333498860103025E-13</v>
      </c>
    </row>
    <row r="314" spans="1:7" x14ac:dyDescent="0.25">
      <c r="A314" s="3">
        <v>306</v>
      </c>
      <c r="B314" s="3">
        <f t="shared" si="24"/>
        <v>825.86845053903312</v>
      </c>
      <c r="C314" s="3">
        <f t="shared" si="25"/>
        <v>5.4644387577098958E-12</v>
      </c>
      <c r="D314" s="3">
        <f t="shared" si="26"/>
        <v>49174.131549460915</v>
      </c>
      <c r="E314" s="3">
        <f t="shared" si="27"/>
        <v>-4.5129075698953117E-14</v>
      </c>
      <c r="F314" s="3">
        <f t="shared" si="28"/>
        <v>-6.379257690147839E-13</v>
      </c>
      <c r="G314" s="3">
        <f t="shared" si="29"/>
        <v>6.8305484471373698E-13</v>
      </c>
    </row>
    <row r="315" spans="1:7" x14ac:dyDescent="0.25">
      <c r="A315" s="3">
        <v>307</v>
      </c>
      <c r="B315" s="3">
        <f t="shared" si="24"/>
        <v>825.86845053903312</v>
      </c>
      <c r="C315" s="3">
        <f t="shared" si="25"/>
        <v>4.8265129886951119E-12</v>
      </c>
      <c r="D315" s="3">
        <f t="shared" si="26"/>
        <v>49174.131549460915</v>
      </c>
      <c r="E315" s="3">
        <f t="shared" si="27"/>
        <v>-3.9860648034801505E-14</v>
      </c>
      <c r="F315" s="3">
        <f t="shared" si="28"/>
        <v>-5.634534755520875E-13</v>
      </c>
      <c r="G315" s="3">
        <f t="shared" si="29"/>
        <v>6.0331412358688899E-13</v>
      </c>
    </row>
    <row r="316" spans="1:7" x14ac:dyDescent="0.25">
      <c r="A316" s="3">
        <v>308</v>
      </c>
      <c r="B316" s="3">
        <f t="shared" si="24"/>
        <v>825.86845053903312</v>
      </c>
      <c r="C316" s="3">
        <f t="shared" si="25"/>
        <v>4.2630595131430246E-12</v>
      </c>
      <c r="D316" s="3">
        <f t="shared" si="26"/>
        <v>49174.131549460915</v>
      </c>
      <c r="E316" s="3">
        <f t="shared" si="27"/>
        <v>-3.5207263546751153E-14</v>
      </c>
      <c r="F316" s="3">
        <f t="shared" si="28"/>
        <v>-4.9767517559612691E-13</v>
      </c>
      <c r="G316" s="3">
        <f t="shared" si="29"/>
        <v>5.3288243914287808E-13</v>
      </c>
    </row>
    <row r="317" spans="1:7" x14ac:dyDescent="0.25">
      <c r="A317" s="3">
        <v>309</v>
      </c>
      <c r="B317" s="3">
        <f t="shared" si="24"/>
        <v>825.86845053903312</v>
      </c>
      <c r="C317" s="3">
        <f t="shared" si="25"/>
        <v>3.7653843375468976E-12</v>
      </c>
      <c r="D317" s="3">
        <f t="shared" si="26"/>
        <v>49174.131549460915</v>
      </c>
      <c r="E317" s="3">
        <f t="shared" si="27"/>
        <v>-3.1097121285338003E-14</v>
      </c>
      <c r="F317" s="3">
        <f t="shared" si="28"/>
        <v>-4.395759209080242E-13</v>
      </c>
      <c r="G317" s="3">
        <f t="shared" si="29"/>
        <v>4.706730421933622E-13</v>
      </c>
    </row>
    <row r="318" spans="1:7" x14ac:dyDescent="0.25">
      <c r="A318" s="3">
        <v>310</v>
      </c>
      <c r="B318" s="3">
        <f t="shared" si="24"/>
        <v>825.86845053903312</v>
      </c>
      <c r="C318" s="3">
        <f t="shared" si="25"/>
        <v>3.3258084166388736E-12</v>
      </c>
      <c r="D318" s="3">
        <f t="shared" si="26"/>
        <v>49174.131549460915</v>
      </c>
      <c r="E318" s="3">
        <f t="shared" si="27"/>
        <v>-2.746680243839222E-14</v>
      </c>
      <c r="F318" s="3">
        <f t="shared" si="28"/>
        <v>-3.8825924964146696E-13</v>
      </c>
      <c r="G318" s="3">
        <f t="shared" si="29"/>
        <v>4.1572605207985919E-13</v>
      </c>
    </row>
    <row r="319" spans="1:7" x14ac:dyDescent="0.25">
      <c r="A319" s="3">
        <v>311</v>
      </c>
      <c r="B319" s="3">
        <f t="shared" si="24"/>
        <v>825.86845053903312</v>
      </c>
      <c r="C319" s="3">
        <f t="shared" si="25"/>
        <v>2.9375491669974065E-12</v>
      </c>
      <c r="D319" s="3">
        <f t="shared" si="26"/>
        <v>49174.131549460915</v>
      </c>
      <c r="E319" s="3">
        <f t="shared" si="27"/>
        <v>-2.4260291789303759E-14</v>
      </c>
      <c r="F319" s="3">
        <f t="shared" si="28"/>
        <v>-3.4293335408537204E-13</v>
      </c>
      <c r="G319" s="3">
        <f t="shared" si="29"/>
        <v>3.6719364587467581E-13</v>
      </c>
    </row>
    <row r="320" spans="1:7" x14ac:dyDescent="0.25">
      <c r="A320" s="3">
        <v>312</v>
      </c>
      <c r="B320" s="3">
        <f t="shared" si="24"/>
        <v>825.86845053903312</v>
      </c>
      <c r="C320" s="3">
        <f t="shared" si="25"/>
        <v>2.5946158129120346E-12</v>
      </c>
      <c r="D320" s="3">
        <f t="shared" si="26"/>
        <v>49174.131549460915</v>
      </c>
      <c r="E320" s="3">
        <f t="shared" si="27"/>
        <v>-2.1428113411537361E-14</v>
      </c>
      <c r="F320" s="3">
        <f t="shared" si="28"/>
        <v>-3.0289886320246698E-13</v>
      </c>
      <c r="G320" s="3">
        <f t="shared" si="29"/>
        <v>3.2432697661400433E-13</v>
      </c>
    </row>
    <row r="321" spans="1:7" x14ac:dyDescent="0.25">
      <c r="A321" s="3">
        <v>313</v>
      </c>
      <c r="B321" s="3">
        <f t="shared" si="24"/>
        <v>825.86845053903312</v>
      </c>
      <c r="C321" s="3">
        <f t="shared" si="25"/>
        <v>2.2917169497095676E-12</v>
      </c>
      <c r="D321" s="3">
        <f t="shared" si="26"/>
        <v>49174.131549460915</v>
      </c>
      <c r="E321" s="3">
        <f t="shared" si="27"/>
        <v>-1.8926567263306801E-14</v>
      </c>
      <c r="F321" s="3">
        <f t="shared" si="28"/>
        <v>-2.6753805145038913E-13</v>
      </c>
      <c r="G321" s="3">
        <f t="shared" si="29"/>
        <v>2.8646461871369595E-13</v>
      </c>
    </row>
    <row r="322" spans="1:7" x14ac:dyDescent="0.25">
      <c r="A322" s="3">
        <v>314</v>
      </c>
      <c r="B322" s="3">
        <f t="shared" si="24"/>
        <v>825.86845053903312</v>
      </c>
      <c r="C322" s="3">
        <f t="shared" si="25"/>
        <v>2.0241788982591783E-12</v>
      </c>
      <c r="D322" s="3">
        <f t="shared" si="26"/>
        <v>49174.131549460915</v>
      </c>
      <c r="E322" s="3">
        <f t="shared" si="27"/>
        <v>-1.6717054903191151E-14</v>
      </c>
      <c r="F322" s="3">
        <f t="shared" si="28"/>
        <v>-2.3630530737920614E-13</v>
      </c>
      <c r="G322" s="3">
        <f t="shared" si="29"/>
        <v>2.5302236228239729E-13</v>
      </c>
    </row>
    <row r="323" spans="1:7" x14ac:dyDescent="0.25">
      <c r="A323" s="3">
        <v>315</v>
      </c>
      <c r="B323" s="3">
        <f t="shared" si="24"/>
        <v>825.86845053903312</v>
      </c>
      <c r="C323" s="3">
        <f t="shared" si="25"/>
        <v>1.7878735908799723E-12</v>
      </c>
      <c r="D323" s="3">
        <f t="shared" si="26"/>
        <v>49174.131549460915</v>
      </c>
      <c r="E323" s="3">
        <f t="shared" si="27"/>
        <v>-1.4765483922597001E-14</v>
      </c>
      <c r="F323" s="3">
        <f t="shared" si="28"/>
        <v>-2.0871871493739954E-13</v>
      </c>
      <c r="G323" s="3">
        <f t="shared" si="29"/>
        <v>2.2348419885999653E-13</v>
      </c>
    </row>
    <row r="324" spans="1:7" x14ac:dyDescent="0.25">
      <c r="A324" s="3">
        <v>316</v>
      </c>
      <c r="B324" s="3">
        <f t="shared" si="24"/>
        <v>825.86845053903312</v>
      </c>
      <c r="C324" s="3">
        <f t="shared" si="25"/>
        <v>1.5791548759425727E-12</v>
      </c>
      <c r="D324" s="3">
        <f t="shared" si="26"/>
        <v>49174.131549460915</v>
      </c>
      <c r="E324" s="3">
        <f t="shared" si="27"/>
        <v>-1.3041741905558518E-14</v>
      </c>
      <c r="F324" s="3">
        <f t="shared" si="28"/>
        <v>-1.8435261758726306E-13</v>
      </c>
      <c r="G324" s="3">
        <f t="shared" si="29"/>
        <v>1.9739435949282159E-13</v>
      </c>
    </row>
    <row r="325" spans="1:7" x14ac:dyDescent="0.25">
      <c r="A325" s="3">
        <v>317</v>
      </c>
      <c r="B325" s="3">
        <f t="shared" si="24"/>
        <v>825.86845053903312</v>
      </c>
      <c r="C325" s="3">
        <f t="shared" si="25"/>
        <v>1.3948022583553095E-12</v>
      </c>
      <c r="D325" s="3">
        <f t="shared" si="26"/>
        <v>49174.131549460915</v>
      </c>
      <c r="E325" s="3">
        <f t="shared" si="27"/>
        <v>-1.1519231799162438E-14</v>
      </c>
      <c r="F325" s="3">
        <f t="shared" si="28"/>
        <v>-1.6283105049525124E-13</v>
      </c>
      <c r="G325" s="3">
        <f t="shared" si="29"/>
        <v>1.7435028229441369E-13</v>
      </c>
    </row>
    <row r="326" spans="1:7" x14ac:dyDescent="0.25">
      <c r="A326" s="3">
        <v>318</v>
      </c>
      <c r="B326" s="3">
        <f t="shared" si="24"/>
        <v>825.86845053903312</v>
      </c>
      <c r="C326" s="3">
        <f t="shared" si="25"/>
        <v>1.2319712078600583E-12</v>
      </c>
      <c r="D326" s="3">
        <f t="shared" si="26"/>
        <v>49174.131549460915</v>
      </c>
      <c r="E326" s="3">
        <f t="shared" si="27"/>
        <v>-1.0174461525440877E-14</v>
      </c>
      <c r="F326" s="3">
        <f t="shared" si="28"/>
        <v>-1.4382193945706641E-13</v>
      </c>
      <c r="G326" s="3">
        <f t="shared" si="29"/>
        <v>1.5399640098250729E-13</v>
      </c>
    </row>
    <row r="327" spans="1:7" x14ac:dyDescent="0.25">
      <c r="A327" s="3">
        <v>319</v>
      </c>
      <c r="B327" s="3">
        <f t="shared" si="24"/>
        <v>825.86845053903312</v>
      </c>
      <c r="C327" s="3">
        <f t="shared" si="25"/>
        <v>1.0881492684029918E-12</v>
      </c>
      <c r="D327" s="3">
        <f t="shared" si="26"/>
        <v>49174.131549460915</v>
      </c>
      <c r="E327" s="3">
        <f t="shared" si="27"/>
        <v>-8.9866815025116141E-15</v>
      </c>
      <c r="F327" s="3">
        <f t="shared" si="28"/>
        <v>-1.2703197704786236E-13</v>
      </c>
      <c r="G327" s="3">
        <f t="shared" si="29"/>
        <v>1.3601865855037398E-13</v>
      </c>
    </row>
    <row r="328" spans="1:7" x14ac:dyDescent="0.25">
      <c r="A328" s="3">
        <v>320</v>
      </c>
      <c r="B328" s="3">
        <f t="shared" si="24"/>
        <v>825.86845053903312</v>
      </c>
      <c r="C328" s="3">
        <f t="shared" si="25"/>
        <v>9.6111729135512947E-13</v>
      </c>
      <c r="D328" s="3">
        <f t="shared" si="26"/>
        <v>49174.131549460915</v>
      </c>
      <c r="E328" s="3">
        <f t="shared" si="27"/>
        <v>-7.9375644819773338E-15</v>
      </c>
      <c r="F328" s="3">
        <f t="shared" si="28"/>
        <v>-1.1220209693741384E-13</v>
      </c>
      <c r="G328" s="3">
        <f t="shared" si="29"/>
        <v>1.2013966141939118E-13</v>
      </c>
    </row>
    <row r="329" spans="1:7" x14ac:dyDescent="0.25">
      <c r="A329" s="3">
        <v>321</v>
      </c>
      <c r="B329" s="3">
        <f t="shared" si="24"/>
        <v>825.86845053903312</v>
      </c>
      <c r="C329" s="3">
        <f t="shared" si="25"/>
        <v>8.4891519441771563E-13</v>
      </c>
      <c r="D329" s="3">
        <f t="shared" si="26"/>
        <v>49174.131549460915</v>
      </c>
      <c r="E329" s="3">
        <f t="shared" si="27"/>
        <v>-7.0109227625280099E-15</v>
      </c>
      <c r="F329" s="3">
        <f t="shared" si="28"/>
        <v>-9.9103476539686447E-14</v>
      </c>
      <c r="G329" s="3">
        <f t="shared" si="29"/>
        <v>1.0611439930221445E-13</v>
      </c>
    </row>
    <row r="330" spans="1:7" x14ac:dyDescent="0.25">
      <c r="A330" s="3">
        <v>322</v>
      </c>
      <c r="B330" s="3">
        <f t="shared" ref="B330:B386" si="30">B329+E329*1</f>
        <v>825.86845053903312</v>
      </c>
      <c r="C330" s="3">
        <f t="shared" ref="C330:C386" si="31">C329+F329*1</f>
        <v>7.4981171787802915E-13</v>
      </c>
      <c r="D330" s="3">
        <f t="shared" ref="D330:D386" si="32">D329+G329*1</f>
        <v>49174.131549460915</v>
      </c>
      <c r="E330" s="3">
        <f t="shared" ref="E330:E386" si="33">-0.00001*B330*C330</f>
        <v>-6.1924584163993863E-15</v>
      </c>
      <c r="F330" s="3">
        <f t="shared" ref="F330:F386" si="34">0.00001*B330*C330-(1/8)*C330</f>
        <v>-8.7534006318354252E-14</v>
      </c>
      <c r="G330" s="3">
        <f t="shared" ref="G330:G386" si="35">(1/8)*C330</f>
        <v>9.3726464734753644E-14</v>
      </c>
    </row>
    <row r="331" spans="1:7" x14ac:dyDescent="0.25">
      <c r="A331" s="3">
        <v>323</v>
      </c>
      <c r="B331" s="3">
        <f t="shared" si="30"/>
        <v>825.86845053903312</v>
      </c>
      <c r="C331" s="3">
        <f t="shared" si="31"/>
        <v>6.6227771155967495E-13</v>
      </c>
      <c r="D331" s="3">
        <f t="shared" si="32"/>
        <v>49174.131549460915</v>
      </c>
      <c r="E331" s="3">
        <f t="shared" si="33"/>
        <v>-5.4695426747232554E-15</v>
      </c>
      <c r="F331" s="3">
        <f t="shared" si="34"/>
        <v>-7.7315171270236115E-14</v>
      </c>
      <c r="G331" s="3">
        <f t="shared" si="35"/>
        <v>8.2784713944959368E-14</v>
      </c>
    </row>
    <row r="332" spans="1:7" x14ac:dyDescent="0.25">
      <c r="A332" s="3">
        <v>324</v>
      </c>
      <c r="B332" s="3">
        <f t="shared" si="30"/>
        <v>825.86845053903312</v>
      </c>
      <c r="C332" s="3">
        <f t="shared" si="31"/>
        <v>5.8496254028943883E-13</v>
      </c>
      <c r="D332" s="3">
        <f t="shared" si="32"/>
        <v>49174.131549460915</v>
      </c>
      <c r="E332" s="3">
        <f t="shared" si="33"/>
        <v>-4.831021067722157E-15</v>
      </c>
      <c r="F332" s="3">
        <f t="shared" si="34"/>
        <v>-6.8289296468457695E-14</v>
      </c>
      <c r="G332" s="3">
        <f t="shared" si="35"/>
        <v>7.3120317536179854E-14</v>
      </c>
    </row>
    <row r="333" spans="1:7" x14ac:dyDescent="0.25">
      <c r="A333" s="3">
        <v>325</v>
      </c>
      <c r="B333" s="3">
        <f t="shared" si="30"/>
        <v>825.86845053903312</v>
      </c>
      <c r="C333" s="3">
        <f t="shared" si="31"/>
        <v>5.1667324382098114E-13</v>
      </c>
      <c r="D333" s="3">
        <f t="shared" si="32"/>
        <v>49174.131549460915</v>
      </c>
      <c r="E333" s="3">
        <f t="shared" si="33"/>
        <v>-4.2670413130940984E-15</v>
      </c>
      <c r="F333" s="3">
        <f t="shared" si="34"/>
        <v>-6.0317114164528545E-14</v>
      </c>
      <c r="G333" s="3">
        <f t="shared" si="35"/>
        <v>6.4584155477622642E-14</v>
      </c>
    </row>
    <row r="334" spans="1:7" x14ac:dyDescent="0.25">
      <c r="A334" s="3">
        <v>326</v>
      </c>
      <c r="B334" s="3">
        <f t="shared" si="30"/>
        <v>825.86845053903312</v>
      </c>
      <c r="C334" s="3">
        <f t="shared" si="31"/>
        <v>4.5635612965645258E-13</v>
      </c>
      <c r="D334" s="3">
        <f t="shared" si="32"/>
        <v>49174.131549460915</v>
      </c>
      <c r="E334" s="3">
        <f t="shared" si="33"/>
        <v>-3.7689012969336463E-15</v>
      </c>
      <c r="F334" s="3">
        <f t="shared" si="34"/>
        <v>-5.3275614910122927E-14</v>
      </c>
      <c r="G334" s="3">
        <f t="shared" si="35"/>
        <v>5.7044516207056572E-14</v>
      </c>
    </row>
    <row r="335" spans="1:7" x14ac:dyDescent="0.25">
      <c r="A335" s="3">
        <v>327</v>
      </c>
      <c r="B335" s="3">
        <f t="shared" si="30"/>
        <v>825.86845053903312</v>
      </c>
      <c r="C335" s="3">
        <f t="shared" si="31"/>
        <v>4.0308051474632965E-13</v>
      </c>
      <c r="D335" s="3">
        <f t="shared" si="32"/>
        <v>49174.131549460915</v>
      </c>
      <c r="E335" s="3">
        <f t="shared" si="33"/>
        <v>-3.328914801560272E-15</v>
      </c>
      <c r="F335" s="3">
        <f t="shared" si="34"/>
        <v>-4.7056149541730937E-14</v>
      </c>
      <c r="G335" s="3">
        <f t="shared" si="35"/>
        <v>5.0385064343291206E-14</v>
      </c>
    </row>
    <row r="336" spans="1:7" x14ac:dyDescent="0.25">
      <c r="A336" s="3">
        <v>328</v>
      </c>
      <c r="B336" s="3">
        <f t="shared" si="30"/>
        <v>825.86845053903312</v>
      </c>
      <c r="C336" s="3">
        <f t="shared" si="31"/>
        <v>3.5602436520459871E-13</v>
      </c>
      <c r="D336" s="3">
        <f t="shared" si="32"/>
        <v>49174.131549460915</v>
      </c>
      <c r="E336" s="3">
        <f t="shared" si="33"/>
        <v>-2.9402929084566482E-15</v>
      </c>
      <c r="F336" s="3">
        <f t="shared" si="34"/>
        <v>-4.1562752742118188E-14</v>
      </c>
      <c r="G336" s="3">
        <f t="shared" si="35"/>
        <v>4.4503045650574839E-14</v>
      </c>
    </row>
    <row r="337" spans="1:7" x14ac:dyDescent="0.25">
      <c r="A337" s="3">
        <v>329</v>
      </c>
      <c r="B337" s="3">
        <f t="shared" si="30"/>
        <v>825.86845053903312</v>
      </c>
      <c r="C337" s="3">
        <f t="shared" si="31"/>
        <v>3.1446161246248054E-13</v>
      </c>
      <c r="D337" s="3">
        <f t="shared" si="32"/>
        <v>49174.131549460915</v>
      </c>
      <c r="E337" s="3">
        <f t="shared" si="33"/>
        <v>-2.5970392463839474E-15</v>
      </c>
      <c r="F337" s="3">
        <f t="shared" si="34"/>
        <v>-3.671066231142612E-14</v>
      </c>
      <c r="G337" s="3">
        <f t="shared" si="35"/>
        <v>3.9307701557810068E-14</v>
      </c>
    </row>
    <row r="338" spans="1:7" x14ac:dyDescent="0.25">
      <c r="A338" s="3">
        <v>330</v>
      </c>
      <c r="B338" s="3">
        <f t="shared" si="30"/>
        <v>825.86845053903312</v>
      </c>
      <c r="C338" s="3">
        <f t="shared" si="31"/>
        <v>2.7775095015105441E-13</v>
      </c>
      <c r="D338" s="3">
        <f t="shared" si="32"/>
        <v>49174.131549460915</v>
      </c>
      <c r="E338" s="3">
        <f t="shared" si="33"/>
        <v>-2.2938574683699556E-15</v>
      </c>
      <c r="F338" s="3">
        <f t="shared" si="34"/>
        <v>-3.2425011300511844E-14</v>
      </c>
      <c r="G338" s="3">
        <f t="shared" si="35"/>
        <v>3.4718868768881802E-14</v>
      </c>
    </row>
    <row r="339" spans="1:7" x14ac:dyDescent="0.25">
      <c r="A339" s="3">
        <v>331</v>
      </c>
      <c r="B339" s="3">
        <f t="shared" si="30"/>
        <v>825.86845053903312</v>
      </c>
      <c r="C339" s="3">
        <f t="shared" si="31"/>
        <v>2.453259388505426E-13</v>
      </c>
      <c r="D339" s="3">
        <f t="shared" si="32"/>
        <v>49174.131549460915</v>
      </c>
      <c r="E339" s="3">
        <f t="shared" si="33"/>
        <v>-2.0260695299553125E-15</v>
      </c>
      <c r="F339" s="3">
        <f t="shared" si="34"/>
        <v>-2.8639672826362514E-14</v>
      </c>
      <c r="G339" s="3">
        <f t="shared" si="35"/>
        <v>3.0665742356317824E-14</v>
      </c>
    </row>
    <row r="340" spans="1:7" x14ac:dyDescent="0.25">
      <c r="A340" s="3">
        <v>332</v>
      </c>
      <c r="B340" s="3">
        <f t="shared" si="30"/>
        <v>825.86845053903312</v>
      </c>
      <c r="C340" s="3">
        <f t="shared" si="31"/>
        <v>2.1668626602418008E-13</v>
      </c>
      <c r="D340" s="3">
        <f t="shared" si="32"/>
        <v>49174.131549460915</v>
      </c>
      <c r="E340" s="3">
        <f t="shared" si="33"/>
        <v>-1.7895435077447836E-15</v>
      </c>
      <c r="F340" s="3">
        <f t="shared" si="34"/>
        <v>-2.5296239745277727E-14</v>
      </c>
      <c r="G340" s="3">
        <f t="shared" si="35"/>
        <v>2.7085783253022509E-14</v>
      </c>
    </row>
    <row r="341" spans="1:7" x14ac:dyDescent="0.25">
      <c r="A341" s="3">
        <v>333</v>
      </c>
      <c r="B341" s="3">
        <f t="shared" si="30"/>
        <v>825.86845053903312</v>
      </c>
      <c r="C341" s="3">
        <f t="shared" si="31"/>
        <v>1.9139002627890235E-13</v>
      </c>
      <c r="D341" s="3">
        <f t="shared" si="32"/>
        <v>49174.131549460915</v>
      </c>
      <c r="E341" s="3">
        <f t="shared" si="33"/>
        <v>-1.5806298445158195E-15</v>
      </c>
      <c r="F341" s="3">
        <f t="shared" si="34"/>
        <v>-2.2343123440346974E-14</v>
      </c>
      <c r="G341" s="3">
        <f t="shared" si="35"/>
        <v>2.3923753284862794E-14</v>
      </c>
    </row>
    <row r="342" spans="1:7" x14ac:dyDescent="0.25">
      <c r="A342" s="3">
        <v>334</v>
      </c>
      <c r="B342" s="3">
        <f t="shared" si="30"/>
        <v>825.86845053903312</v>
      </c>
      <c r="C342" s="3">
        <f t="shared" si="31"/>
        <v>1.6904690283855539E-13</v>
      </c>
      <c r="D342" s="3">
        <f t="shared" si="32"/>
        <v>49174.131549460915</v>
      </c>
      <c r="E342" s="3">
        <f t="shared" si="33"/>
        <v>-1.3961050371570025E-15</v>
      </c>
      <c r="F342" s="3">
        <f t="shared" si="34"/>
        <v>-1.9734757817662422E-14</v>
      </c>
      <c r="G342" s="3">
        <f t="shared" si="35"/>
        <v>2.1130862854819424E-14</v>
      </c>
    </row>
    <row r="343" spans="1:7" x14ac:dyDescent="0.25">
      <c r="A343" s="3">
        <v>335</v>
      </c>
      <c r="B343" s="3">
        <f t="shared" si="30"/>
        <v>825.86845053903312</v>
      </c>
      <c r="C343" s="3">
        <f t="shared" si="31"/>
        <v>1.4931214502089296E-13</v>
      </c>
      <c r="D343" s="3">
        <f t="shared" si="32"/>
        <v>49174.131549460915</v>
      </c>
      <c r="E343" s="3">
        <f t="shared" si="33"/>
        <v>-1.2331218985506429E-15</v>
      </c>
      <c r="F343" s="3">
        <f t="shared" si="34"/>
        <v>-1.7430896229060977E-14</v>
      </c>
      <c r="G343" s="3">
        <f t="shared" si="35"/>
        <v>1.866401812761162E-14</v>
      </c>
    </row>
    <row r="344" spans="1:7" x14ac:dyDescent="0.25">
      <c r="A344" s="3">
        <v>336</v>
      </c>
      <c r="B344" s="3">
        <f t="shared" si="30"/>
        <v>825.86845053903312</v>
      </c>
      <c r="C344" s="3">
        <f t="shared" si="31"/>
        <v>1.3188124879183199E-13</v>
      </c>
      <c r="D344" s="3">
        <f t="shared" si="32"/>
        <v>49174.131549460915</v>
      </c>
      <c r="E344" s="3">
        <f t="shared" si="33"/>
        <v>-1.0891656259486304E-15</v>
      </c>
      <c r="F344" s="3">
        <f t="shared" si="34"/>
        <v>-1.5395990473030368E-14</v>
      </c>
      <c r="G344" s="3">
        <f t="shared" si="35"/>
        <v>1.6485156098978998E-14</v>
      </c>
    </row>
    <row r="345" spans="1:7" x14ac:dyDescent="0.25">
      <c r="A345" s="3">
        <v>337</v>
      </c>
      <c r="B345" s="3">
        <f t="shared" si="30"/>
        <v>825.86845053903312</v>
      </c>
      <c r="C345" s="3">
        <f t="shared" si="31"/>
        <v>1.1648525831880161E-13</v>
      </c>
      <c r="D345" s="3">
        <f t="shared" si="32"/>
        <v>49174.131549460915</v>
      </c>
      <c r="E345" s="3">
        <f t="shared" si="33"/>
        <v>-9.6201499798387714E-16</v>
      </c>
      <c r="F345" s="3">
        <f t="shared" si="34"/>
        <v>-1.3598642291866325E-14</v>
      </c>
      <c r="G345" s="3">
        <f t="shared" si="35"/>
        <v>1.4560657289850202E-14</v>
      </c>
    </row>
    <row r="346" spans="1:7" x14ac:dyDescent="0.25">
      <c r="A346" s="3">
        <v>338</v>
      </c>
      <c r="B346" s="3">
        <f t="shared" si="30"/>
        <v>825.86845053903312</v>
      </c>
      <c r="C346" s="3">
        <f t="shared" si="31"/>
        <v>1.0288661602693529E-13</v>
      </c>
      <c r="D346" s="3">
        <f t="shared" si="32"/>
        <v>49174.131549460915</v>
      </c>
      <c r="E346" s="3">
        <f t="shared" si="33"/>
        <v>-8.4970810159369516E-16</v>
      </c>
      <c r="F346" s="3">
        <f t="shared" si="34"/>
        <v>-1.2011118901773215E-14</v>
      </c>
      <c r="G346" s="3">
        <f t="shared" si="35"/>
        <v>1.2860827003366911E-14</v>
      </c>
    </row>
    <row r="347" spans="1:7" x14ac:dyDescent="0.25">
      <c r="A347" s="3">
        <v>339</v>
      </c>
      <c r="B347" s="3">
        <f t="shared" si="30"/>
        <v>825.86845053903312</v>
      </c>
      <c r="C347" s="3">
        <f t="shared" si="31"/>
        <v>9.0875497125162069E-14</v>
      </c>
      <c r="D347" s="3">
        <f t="shared" si="32"/>
        <v>49174.131549460915</v>
      </c>
      <c r="E347" s="3">
        <f t="shared" si="33"/>
        <v>-7.5051206002721971E-16</v>
      </c>
      <c r="F347" s="3">
        <f t="shared" si="34"/>
        <v>-1.0608925080618039E-14</v>
      </c>
      <c r="G347" s="3">
        <f t="shared" si="35"/>
        <v>1.1359437140645259E-14</v>
      </c>
    </row>
    <row r="348" spans="1:7" x14ac:dyDescent="0.25">
      <c r="A348" s="3">
        <v>340</v>
      </c>
      <c r="B348" s="3">
        <f t="shared" si="30"/>
        <v>825.86845053903312</v>
      </c>
      <c r="C348" s="3">
        <f t="shared" si="31"/>
        <v>8.0266572044544028E-14</v>
      </c>
      <c r="D348" s="3">
        <f t="shared" si="32"/>
        <v>49174.131549460915</v>
      </c>
      <c r="E348" s="3">
        <f t="shared" si="33"/>
        <v>-6.6289629484507261E-16</v>
      </c>
      <c r="F348" s="3">
        <f t="shared" si="34"/>
        <v>-9.3704252107229306E-15</v>
      </c>
      <c r="G348" s="3">
        <f t="shared" si="35"/>
        <v>1.0033321505568004E-14</v>
      </c>
    </row>
    <row r="349" spans="1:7" x14ac:dyDescent="0.25">
      <c r="A349" s="3">
        <v>341</v>
      </c>
      <c r="B349" s="3">
        <f t="shared" si="30"/>
        <v>825.86845053903312</v>
      </c>
      <c r="C349" s="3">
        <f t="shared" si="31"/>
        <v>7.0896146833821098E-14</v>
      </c>
      <c r="D349" s="3">
        <f t="shared" si="32"/>
        <v>49174.131549460915</v>
      </c>
      <c r="E349" s="3">
        <f t="shared" si="33"/>
        <v>-5.8550890934835615E-16</v>
      </c>
      <c r="F349" s="3">
        <f t="shared" si="34"/>
        <v>-8.2765094448792808E-15</v>
      </c>
      <c r="G349" s="3">
        <f t="shared" si="35"/>
        <v>8.8620183542276372E-15</v>
      </c>
    </row>
    <row r="350" spans="1:7" x14ac:dyDescent="0.25">
      <c r="A350" s="3">
        <v>342</v>
      </c>
      <c r="B350" s="3">
        <f t="shared" si="30"/>
        <v>825.86845053903312</v>
      </c>
      <c r="C350" s="3">
        <f t="shared" si="31"/>
        <v>6.2619637388941822E-14</v>
      </c>
      <c r="D350" s="3">
        <f t="shared" si="32"/>
        <v>49174.131549460915</v>
      </c>
      <c r="E350" s="3">
        <f t="shared" si="33"/>
        <v>-5.1715582903721495E-16</v>
      </c>
      <c r="F350" s="3">
        <f t="shared" si="34"/>
        <v>-7.3102988445805121E-15</v>
      </c>
      <c r="G350" s="3">
        <f t="shared" si="35"/>
        <v>7.8274546736177277E-15</v>
      </c>
    </row>
    <row r="351" spans="1:7" x14ac:dyDescent="0.25">
      <c r="A351" s="3">
        <v>343</v>
      </c>
      <c r="B351" s="3">
        <f t="shared" si="30"/>
        <v>825.86845053903312</v>
      </c>
      <c r="C351" s="3">
        <f t="shared" si="31"/>
        <v>5.5309338544361311E-14</v>
      </c>
      <c r="D351" s="3">
        <f t="shared" si="32"/>
        <v>49174.131549460915</v>
      </c>
      <c r="E351" s="3">
        <f t="shared" si="33"/>
        <v>-4.5678237723970505E-16</v>
      </c>
      <c r="F351" s="3">
        <f t="shared" si="34"/>
        <v>-6.4568849408054586E-15</v>
      </c>
      <c r="G351" s="3">
        <f t="shared" si="35"/>
        <v>6.9136673180451639E-15</v>
      </c>
    </row>
    <row r="352" spans="1:7" x14ac:dyDescent="0.25">
      <c r="A352" s="3">
        <v>344</v>
      </c>
      <c r="B352" s="3">
        <f t="shared" si="30"/>
        <v>825.86845053903312</v>
      </c>
      <c r="C352" s="3">
        <f t="shared" si="31"/>
        <v>4.8852453603555852E-14</v>
      </c>
      <c r="D352" s="3">
        <f t="shared" si="32"/>
        <v>49174.131549460915</v>
      </c>
      <c r="E352" s="3">
        <f t="shared" si="33"/>
        <v>-4.0345700162598684E-16</v>
      </c>
      <c r="F352" s="3">
        <f t="shared" si="34"/>
        <v>-5.7030996988184946E-15</v>
      </c>
      <c r="G352" s="3">
        <f t="shared" si="35"/>
        <v>6.1065567004444815E-15</v>
      </c>
    </row>
    <row r="353" spans="1:7" x14ac:dyDescent="0.25">
      <c r="A353" s="3">
        <v>345</v>
      </c>
      <c r="B353" s="3">
        <f t="shared" si="30"/>
        <v>825.86845053903312</v>
      </c>
      <c r="C353" s="3">
        <f t="shared" si="31"/>
        <v>4.314935390473736E-14</v>
      </c>
      <c r="D353" s="3">
        <f t="shared" si="32"/>
        <v>49174.131549460915</v>
      </c>
      <c r="E353" s="3">
        <f t="shared" si="33"/>
        <v>-3.5635690051065826E-16</v>
      </c>
      <c r="F353" s="3">
        <f t="shared" si="34"/>
        <v>-5.037312337581512E-15</v>
      </c>
      <c r="G353" s="3">
        <f t="shared" si="35"/>
        <v>5.39366923809217E-15</v>
      </c>
    </row>
    <row r="354" spans="1:7" x14ac:dyDescent="0.25">
      <c r="A354" s="3">
        <v>346</v>
      </c>
      <c r="B354" s="3">
        <f t="shared" si="30"/>
        <v>825.86845053903312</v>
      </c>
      <c r="C354" s="3">
        <f t="shared" si="31"/>
        <v>3.8112041567155845E-14</v>
      </c>
      <c r="D354" s="3">
        <f t="shared" si="32"/>
        <v>49174.131549460915</v>
      </c>
      <c r="E354" s="3">
        <f t="shared" si="33"/>
        <v>-3.1475532715946227E-16</v>
      </c>
      <c r="F354" s="3">
        <f t="shared" si="34"/>
        <v>-4.4492498687350184E-15</v>
      </c>
      <c r="G354" s="3">
        <f t="shared" si="35"/>
        <v>4.7640051958944807E-15</v>
      </c>
    </row>
    <row r="355" spans="1:7" x14ac:dyDescent="0.25">
      <c r="A355" s="3">
        <v>347</v>
      </c>
      <c r="B355" s="3">
        <f t="shared" si="30"/>
        <v>825.86845053903312</v>
      </c>
      <c r="C355" s="3">
        <f t="shared" si="31"/>
        <v>3.3662791698420824E-14</v>
      </c>
      <c r="D355" s="3">
        <f t="shared" si="32"/>
        <v>49174.131549460915</v>
      </c>
      <c r="E355" s="3">
        <f t="shared" si="33"/>
        <v>-2.7801037620793038E-16</v>
      </c>
      <c r="F355" s="3">
        <f t="shared" si="34"/>
        <v>-3.9298385860946725E-15</v>
      </c>
      <c r="G355" s="3">
        <f t="shared" si="35"/>
        <v>4.2078489623026031E-15</v>
      </c>
    </row>
    <row r="356" spans="1:7" x14ac:dyDescent="0.25">
      <c r="A356" s="3">
        <v>348</v>
      </c>
      <c r="B356" s="3">
        <f t="shared" si="30"/>
        <v>825.86845053903312</v>
      </c>
      <c r="C356" s="3">
        <f t="shared" si="31"/>
        <v>2.9732953112326152E-14</v>
      </c>
      <c r="D356" s="3">
        <f t="shared" si="32"/>
        <v>49174.131549460915</v>
      </c>
      <c r="E356" s="3">
        <f t="shared" si="33"/>
        <v>-2.4555507916826523E-16</v>
      </c>
      <c r="F356" s="3">
        <f t="shared" si="34"/>
        <v>-3.4710640598725036E-15</v>
      </c>
      <c r="G356" s="3">
        <f t="shared" si="35"/>
        <v>3.716619139040769E-15</v>
      </c>
    </row>
    <row r="357" spans="1:7" x14ac:dyDescent="0.25">
      <c r="A357" s="3">
        <v>349</v>
      </c>
      <c r="B357" s="3">
        <f t="shared" si="30"/>
        <v>825.86845053903312</v>
      </c>
      <c r="C357" s="3">
        <f t="shared" si="31"/>
        <v>2.6261889052453647E-14</v>
      </c>
      <c r="D357" s="3">
        <f t="shared" si="32"/>
        <v>49174.131549460915</v>
      </c>
      <c r="E357" s="3">
        <f t="shared" si="33"/>
        <v>-2.1688865619977893E-16</v>
      </c>
      <c r="F357" s="3">
        <f t="shared" si="34"/>
        <v>-3.0658474753569268E-15</v>
      </c>
      <c r="G357" s="3">
        <f t="shared" si="35"/>
        <v>3.2827361315567058E-15</v>
      </c>
    </row>
    <row r="358" spans="1:7" x14ac:dyDescent="0.25">
      <c r="A358" s="3">
        <v>350</v>
      </c>
      <c r="B358" s="3">
        <f t="shared" si="30"/>
        <v>825.86845053903312</v>
      </c>
      <c r="C358" s="3">
        <f t="shared" si="31"/>
        <v>2.3196041577096722E-14</v>
      </c>
      <c r="D358" s="3">
        <f t="shared" si="32"/>
        <v>49174.131549460915</v>
      </c>
      <c r="E358" s="3">
        <f t="shared" si="33"/>
        <v>-1.9156878915915863E-16</v>
      </c>
      <c r="F358" s="3">
        <f t="shared" si="34"/>
        <v>-2.7079364079779316E-15</v>
      </c>
      <c r="G358" s="3">
        <f t="shared" si="35"/>
        <v>2.8995051971370902E-15</v>
      </c>
    </row>
    <row r="359" spans="1:7" x14ac:dyDescent="0.25">
      <c r="A359" s="3">
        <v>351</v>
      </c>
      <c r="B359" s="3">
        <f t="shared" si="30"/>
        <v>825.86845053903312</v>
      </c>
      <c r="C359" s="3">
        <f t="shared" si="31"/>
        <v>2.048810516911879E-14</v>
      </c>
      <c r="D359" s="3">
        <f t="shared" si="32"/>
        <v>49174.131549460915</v>
      </c>
      <c r="E359" s="3">
        <f t="shared" si="33"/>
        <v>-1.6920479670500892E-16</v>
      </c>
      <c r="F359" s="3">
        <f t="shared" si="34"/>
        <v>-2.3918083494348399E-15</v>
      </c>
      <c r="G359" s="3">
        <f t="shared" si="35"/>
        <v>2.5610131461398488E-15</v>
      </c>
    </row>
    <row r="360" spans="1:7" x14ac:dyDescent="0.25">
      <c r="A360" s="3">
        <v>352</v>
      </c>
      <c r="B360" s="3">
        <f t="shared" si="30"/>
        <v>825.86845053903312</v>
      </c>
      <c r="C360" s="3">
        <f t="shared" si="31"/>
        <v>1.8096296819683952E-14</v>
      </c>
      <c r="D360" s="3">
        <f t="shared" si="32"/>
        <v>49174.131549460915</v>
      </c>
      <c r="E360" s="3">
        <f t="shared" si="33"/>
        <v>-1.4945160614966821E-16</v>
      </c>
      <c r="F360" s="3">
        <f t="shared" si="34"/>
        <v>-2.1125854963108256E-15</v>
      </c>
      <c r="G360" s="3">
        <f t="shared" si="35"/>
        <v>2.2620371024604939E-15</v>
      </c>
    </row>
    <row r="361" spans="1:7" x14ac:dyDescent="0.25">
      <c r="A361" s="3">
        <v>353</v>
      </c>
      <c r="B361" s="3">
        <f t="shared" si="30"/>
        <v>825.86845053903312</v>
      </c>
      <c r="C361" s="3">
        <f t="shared" si="31"/>
        <v>1.5983711323373124E-14</v>
      </c>
      <c r="D361" s="3">
        <f t="shared" si="32"/>
        <v>49174.131549460915</v>
      </c>
      <c r="E361" s="3">
        <f t="shared" si="33"/>
        <v>-1.3200442904497362E-16</v>
      </c>
      <c r="F361" s="3">
        <f t="shared" si="34"/>
        <v>-1.8659594863766669E-15</v>
      </c>
      <c r="G361" s="3">
        <f t="shared" si="35"/>
        <v>1.9979639154216405E-15</v>
      </c>
    </row>
    <row r="362" spans="1:7" x14ac:dyDescent="0.25">
      <c r="A362" s="3">
        <v>354</v>
      </c>
      <c r="B362" s="3">
        <f t="shared" si="30"/>
        <v>825.86845053903312</v>
      </c>
      <c r="C362" s="3">
        <f t="shared" si="31"/>
        <v>1.4117751836996458E-14</v>
      </c>
      <c r="D362" s="3">
        <f t="shared" si="32"/>
        <v>49174.131549460915</v>
      </c>
      <c r="E362" s="3">
        <f t="shared" si="33"/>
        <v>-1.1659405834714855E-16</v>
      </c>
      <c r="F362" s="3">
        <f t="shared" si="34"/>
        <v>-1.6481249212774087E-15</v>
      </c>
      <c r="G362" s="3">
        <f t="shared" si="35"/>
        <v>1.7647189796245572E-15</v>
      </c>
    </row>
    <row r="363" spans="1:7" x14ac:dyDescent="0.25">
      <c r="A363" s="3">
        <v>355</v>
      </c>
      <c r="B363" s="3">
        <f t="shared" si="30"/>
        <v>825.86845053903312</v>
      </c>
      <c r="C363" s="3">
        <f t="shared" si="31"/>
        <v>1.2469626915719049E-14</v>
      </c>
      <c r="D363" s="3">
        <f t="shared" si="32"/>
        <v>49174.131549460915</v>
      </c>
      <c r="E363" s="3">
        <f t="shared" si="33"/>
        <v>-1.0298271459684715E-16</v>
      </c>
      <c r="F363" s="3">
        <f t="shared" si="34"/>
        <v>-1.455720649868034E-15</v>
      </c>
      <c r="G363" s="3">
        <f t="shared" si="35"/>
        <v>1.5587033644648812E-15</v>
      </c>
    </row>
    <row r="364" spans="1:7" x14ac:dyDescent="0.25">
      <c r="A364" s="3">
        <v>356</v>
      </c>
      <c r="B364" s="3">
        <f t="shared" si="30"/>
        <v>825.86845053903312</v>
      </c>
      <c r="C364" s="3">
        <f t="shared" si="31"/>
        <v>1.1013906265851015E-14</v>
      </c>
      <c r="D364" s="3">
        <f t="shared" si="32"/>
        <v>49174.131549460915</v>
      </c>
      <c r="E364" s="3">
        <f t="shared" si="33"/>
        <v>-9.0960377021605272E-17</v>
      </c>
      <c r="F364" s="3">
        <f t="shared" si="34"/>
        <v>-1.2857779062097716E-15</v>
      </c>
      <c r="G364" s="3">
        <f t="shared" si="35"/>
        <v>1.3767382832313769E-15</v>
      </c>
    </row>
    <row r="365" spans="1:7" x14ac:dyDescent="0.25">
      <c r="A365" s="3">
        <v>357</v>
      </c>
      <c r="B365" s="3">
        <f t="shared" si="30"/>
        <v>825.86845053903312</v>
      </c>
      <c r="C365" s="3">
        <f t="shared" si="31"/>
        <v>9.7281283596412443E-15</v>
      </c>
      <c r="D365" s="3">
        <f t="shared" si="32"/>
        <v>49174.131549460915</v>
      </c>
      <c r="E365" s="3">
        <f t="shared" si="33"/>
        <v>-8.0341542950217422E-17</v>
      </c>
      <c r="F365" s="3">
        <f t="shared" si="34"/>
        <v>-1.1356745020049381E-15</v>
      </c>
      <c r="G365" s="3">
        <f t="shared" si="35"/>
        <v>1.2160160449551555E-15</v>
      </c>
    </row>
    <row r="366" spans="1:7" x14ac:dyDescent="0.25">
      <c r="A366" s="3">
        <v>358</v>
      </c>
      <c r="B366" s="3">
        <f t="shared" si="30"/>
        <v>825.86845053903312</v>
      </c>
      <c r="C366" s="3">
        <f t="shared" si="31"/>
        <v>8.5924538576363056E-15</v>
      </c>
      <c r="D366" s="3">
        <f t="shared" si="32"/>
        <v>49174.131549460915</v>
      </c>
      <c r="E366" s="3">
        <f t="shared" si="33"/>
        <v>-7.0962365537342347E-17</v>
      </c>
      <c r="F366" s="3">
        <f t="shared" si="34"/>
        <v>-1.0030943666671959E-15</v>
      </c>
      <c r="G366" s="3">
        <f t="shared" si="35"/>
        <v>1.0740567322045382E-15</v>
      </c>
    </row>
    <row r="367" spans="1:7" x14ac:dyDescent="0.25">
      <c r="A367" s="3">
        <v>359</v>
      </c>
      <c r="B367" s="3">
        <f t="shared" si="30"/>
        <v>825.86845053903312</v>
      </c>
      <c r="C367" s="3">
        <f t="shared" si="31"/>
        <v>7.5893594909691101E-15</v>
      </c>
      <c r="D367" s="3">
        <f t="shared" si="32"/>
        <v>49174.131549460915</v>
      </c>
      <c r="E367" s="3">
        <f t="shared" si="33"/>
        <v>-6.2678125633903646E-17</v>
      </c>
      <c r="F367" s="3">
        <f t="shared" si="34"/>
        <v>-8.8599181073723508E-16</v>
      </c>
      <c r="G367" s="3">
        <f t="shared" si="35"/>
        <v>9.4866993637113877E-16</v>
      </c>
    </row>
    <row r="368" spans="1:7" x14ac:dyDescent="0.25">
      <c r="A368" s="3">
        <v>360</v>
      </c>
      <c r="B368" s="3">
        <f t="shared" si="30"/>
        <v>825.86845053903312</v>
      </c>
      <c r="C368" s="3">
        <f t="shared" si="31"/>
        <v>6.7033676802318749E-15</v>
      </c>
      <c r="D368" s="3">
        <f t="shared" si="32"/>
        <v>49174.131549460915</v>
      </c>
      <c r="E368" s="3">
        <f t="shared" si="33"/>
        <v>-5.5360998794665323E-17</v>
      </c>
      <c r="F368" s="3">
        <f t="shared" si="34"/>
        <v>-7.8255996123431907E-16</v>
      </c>
      <c r="G368" s="3">
        <f t="shared" si="35"/>
        <v>8.3792096002898437E-16</v>
      </c>
    </row>
    <row r="369" spans="1:7" x14ac:dyDescent="0.25">
      <c r="A369" s="3">
        <v>361</v>
      </c>
      <c r="B369" s="3">
        <f t="shared" si="30"/>
        <v>825.86845053903312</v>
      </c>
      <c r="C369" s="3">
        <f t="shared" si="31"/>
        <v>5.9208077189975563E-15</v>
      </c>
      <c r="D369" s="3">
        <f t="shared" si="32"/>
        <v>49174.131549460915</v>
      </c>
      <c r="E369" s="3">
        <f t="shared" si="33"/>
        <v>-4.8898082968280594E-17</v>
      </c>
      <c r="F369" s="3">
        <f t="shared" si="34"/>
        <v>-6.9120288190641396E-16</v>
      </c>
      <c r="G369" s="3">
        <f t="shared" si="35"/>
        <v>7.4010096487469453E-16</v>
      </c>
    </row>
    <row r="370" spans="1:7" x14ac:dyDescent="0.25">
      <c r="A370" s="3">
        <v>362</v>
      </c>
      <c r="B370" s="3">
        <f t="shared" si="30"/>
        <v>825.86845053903312</v>
      </c>
      <c r="C370" s="3">
        <f t="shared" si="31"/>
        <v>5.229604837091142E-15</v>
      </c>
      <c r="D370" s="3">
        <f t="shared" si="32"/>
        <v>49174.131549460915</v>
      </c>
      <c r="E370" s="3">
        <f t="shared" si="33"/>
        <v>-4.3189656437398949E-17</v>
      </c>
      <c r="F370" s="3">
        <f t="shared" si="34"/>
        <v>-6.1051094819899383E-16</v>
      </c>
      <c r="G370" s="3">
        <f t="shared" si="35"/>
        <v>6.5370060463639275E-16</v>
      </c>
    </row>
    <row r="371" spans="1:7" x14ac:dyDescent="0.25">
      <c r="A371" s="3">
        <v>363</v>
      </c>
      <c r="B371" s="3">
        <f t="shared" si="30"/>
        <v>825.86845053903312</v>
      </c>
      <c r="C371" s="3">
        <f t="shared" si="31"/>
        <v>4.6190938888921482E-15</v>
      </c>
      <c r="D371" s="3">
        <f t="shared" si="32"/>
        <v>49174.131549460915</v>
      </c>
      <c r="E371" s="3">
        <f t="shared" si="33"/>
        <v>-3.8147639129136758E-17</v>
      </c>
      <c r="F371" s="3">
        <f t="shared" si="34"/>
        <v>-5.3923909698238175E-16</v>
      </c>
      <c r="G371" s="3">
        <f t="shared" si="35"/>
        <v>5.7738673611151852E-16</v>
      </c>
    </row>
    <row r="372" spans="1:7" x14ac:dyDescent="0.25">
      <c r="A372" s="3">
        <v>364</v>
      </c>
      <c r="B372" s="3">
        <f t="shared" si="30"/>
        <v>825.86845053903312</v>
      </c>
      <c r="C372" s="3">
        <f t="shared" si="31"/>
        <v>4.0798547919097661E-15</v>
      </c>
      <c r="D372" s="3">
        <f t="shared" si="32"/>
        <v>49174.131549460915</v>
      </c>
      <c r="E372" s="3">
        <f t="shared" si="33"/>
        <v>-3.3694233554187683E-17</v>
      </c>
      <c r="F372" s="3">
        <f t="shared" si="34"/>
        <v>-4.7628761543453311E-16</v>
      </c>
      <c r="G372" s="3">
        <f t="shared" si="35"/>
        <v>5.0998184898872077E-16</v>
      </c>
    </row>
    <row r="373" spans="1:7" x14ac:dyDescent="0.25">
      <c r="A373" s="3">
        <v>365</v>
      </c>
      <c r="B373" s="3">
        <f t="shared" si="30"/>
        <v>825.86845053903312</v>
      </c>
      <c r="C373" s="3">
        <f t="shared" si="31"/>
        <v>3.603567176475233E-15</v>
      </c>
      <c r="D373" s="3">
        <f t="shared" si="32"/>
        <v>49174.131549460915</v>
      </c>
      <c r="E373" s="3">
        <f t="shared" si="33"/>
        <v>-2.9760724404489199E-17</v>
      </c>
      <c r="F373" s="3">
        <f t="shared" si="34"/>
        <v>-4.2068517265491495E-16</v>
      </c>
      <c r="G373" s="3">
        <f t="shared" si="35"/>
        <v>4.5044589705940413E-16</v>
      </c>
    </row>
    <row r="374" spans="1:7" x14ac:dyDescent="0.25">
      <c r="A374" s="3">
        <v>366</v>
      </c>
      <c r="B374" s="3">
        <f t="shared" si="30"/>
        <v>825.86845053903312</v>
      </c>
      <c r="C374" s="3">
        <f t="shared" si="31"/>
        <v>3.1828820038203183E-15</v>
      </c>
      <c r="D374" s="3">
        <f t="shared" si="32"/>
        <v>49174.131549460915</v>
      </c>
      <c r="E374" s="3">
        <f t="shared" si="33"/>
        <v>-2.6286418287436594E-17</v>
      </c>
      <c r="F374" s="3">
        <f t="shared" si="34"/>
        <v>-3.7157383219010318E-16</v>
      </c>
      <c r="G374" s="3">
        <f t="shared" si="35"/>
        <v>3.9786025047753978E-16</v>
      </c>
    </row>
    <row r="375" spans="1:7" x14ac:dyDescent="0.25">
      <c r="A375" s="3">
        <v>367</v>
      </c>
      <c r="B375" s="3">
        <f t="shared" si="30"/>
        <v>825.86845053903312</v>
      </c>
      <c r="C375" s="3">
        <f t="shared" si="31"/>
        <v>2.8113081716302152E-15</v>
      </c>
      <c r="D375" s="3">
        <f t="shared" si="32"/>
        <v>49174.131549460915</v>
      </c>
      <c r="E375" s="3">
        <f t="shared" si="33"/>
        <v>-2.3217707236919684E-17</v>
      </c>
      <c r="F375" s="3">
        <f t="shared" si="34"/>
        <v>-3.281958142168572E-16</v>
      </c>
      <c r="G375" s="3">
        <f t="shared" si="35"/>
        <v>3.514135214537769E-16</v>
      </c>
    </row>
    <row r="376" spans="1:7" x14ac:dyDescent="0.25">
      <c r="A376" s="3">
        <v>368</v>
      </c>
      <c r="B376" s="3">
        <f t="shared" si="30"/>
        <v>825.86845053903312</v>
      </c>
      <c r="C376" s="3">
        <f t="shared" si="31"/>
        <v>2.483112357413358E-15</v>
      </c>
      <c r="D376" s="3">
        <f t="shared" si="32"/>
        <v>49174.131549460915</v>
      </c>
      <c r="E376" s="3">
        <f t="shared" si="33"/>
        <v>-2.050724155131296E-17</v>
      </c>
      <c r="F376" s="3">
        <f t="shared" si="34"/>
        <v>-2.8988180312535677E-16</v>
      </c>
      <c r="G376" s="3">
        <f t="shared" si="35"/>
        <v>3.1038904467666975E-16</v>
      </c>
    </row>
    <row r="377" spans="1:7" x14ac:dyDescent="0.25">
      <c r="A377" s="3">
        <v>369</v>
      </c>
      <c r="B377" s="3">
        <f t="shared" si="30"/>
        <v>825.86845053903312</v>
      </c>
      <c r="C377" s="3">
        <f t="shared" si="31"/>
        <v>2.1932305542880012E-15</v>
      </c>
      <c r="D377" s="3">
        <f t="shared" si="32"/>
        <v>49174.131549460915</v>
      </c>
      <c r="E377" s="3">
        <f t="shared" si="33"/>
        <v>-1.8113199195446966E-17</v>
      </c>
      <c r="F377" s="3">
        <f t="shared" si="34"/>
        <v>-2.560406200905532E-16</v>
      </c>
      <c r="G377" s="3">
        <f t="shared" si="35"/>
        <v>2.7415381928600015E-16</v>
      </c>
    </row>
    <row r="378" spans="1:7" x14ac:dyDescent="0.25">
      <c r="A378" s="3">
        <v>370</v>
      </c>
      <c r="B378" s="3">
        <f t="shared" si="30"/>
        <v>825.86845053903312</v>
      </c>
      <c r="C378" s="3">
        <f t="shared" si="31"/>
        <v>1.9371899341974479E-15</v>
      </c>
      <c r="D378" s="3">
        <f t="shared" si="32"/>
        <v>49174.131549460915</v>
      </c>
      <c r="E378" s="3">
        <f t="shared" si="33"/>
        <v>-1.5998640493554581E-17</v>
      </c>
      <c r="F378" s="3">
        <f t="shared" si="34"/>
        <v>-2.261501012811264E-16</v>
      </c>
      <c r="G378" s="3">
        <f t="shared" si="35"/>
        <v>2.4214874177468098E-16</v>
      </c>
    </row>
    <row r="379" spans="1:7" x14ac:dyDescent="0.25">
      <c r="A379" s="3">
        <v>371</v>
      </c>
      <c r="B379" s="3">
        <f t="shared" si="30"/>
        <v>825.86845053903312</v>
      </c>
      <c r="C379" s="3">
        <f t="shared" si="31"/>
        <v>1.7110398329163215E-15</v>
      </c>
      <c r="D379" s="3">
        <f t="shared" si="32"/>
        <v>49174.131549460915</v>
      </c>
      <c r="E379" s="3">
        <f t="shared" si="33"/>
        <v>-1.4130938156211687E-17</v>
      </c>
      <c r="F379" s="3">
        <f t="shared" si="34"/>
        <v>-1.9974904095832851E-16</v>
      </c>
      <c r="G379" s="3">
        <f t="shared" si="35"/>
        <v>2.1387997911454018E-16</v>
      </c>
    </row>
    <row r="380" spans="1:7" x14ac:dyDescent="0.25">
      <c r="A380" s="3">
        <v>372</v>
      </c>
      <c r="B380" s="3">
        <f t="shared" si="30"/>
        <v>825.86845053903312</v>
      </c>
      <c r="C380" s="3">
        <f t="shared" si="31"/>
        <v>1.511290791957993E-15</v>
      </c>
      <c r="D380" s="3">
        <f t="shared" si="32"/>
        <v>49174.131549460915</v>
      </c>
      <c r="E380" s="3">
        <f t="shared" si="33"/>
        <v>-1.2481273846682562E-17</v>
      </c>
      <c r="F380" s="3">
        <f t="shared" si="34"/>
        <v>-1.7643007514806655E-16</v>
      </c>
      <c r="G380" s="3">
        <f t="shared" si="35"/>
        <v>1.8891134899474913E-16</v>
      </c>
    </row>
    <row r="381" spans="1:7" x14ac:dyDescent="0.25">
      <c r="A381" s="3">
        <v>373</v>
      </c>
      <c r="B381" s="3">
        <f t="shared" si="30"/>
        <v>825.86845053903312</v>
      </c>
      <c r="C381" s="3">
        <f t="shared" si="31"/>
        <v>1.3348607168099264E-15</v>
      </c>
      <c r="D381" s="3">
        <f t="shared" si="32"/>
        <v>49174.131549460915</v>
      </c>
      <c r="E381" s="3">
        <f t="shared" si="33"/>
        <v>-1.1024193518772372E-17</v>
      </c>
      <c r="F381" s="3">
        <f t="shared" si="34"/>
        <v>-1.5583339608246842E-16</v>
      </c>
      <c r="G381" s="3">
        <f t="shared" si="35"/>
        <v>1.668575896012408E-16</v>
      </c>
    </row>
    <row r="382" spans="1:7" x14ac:dyDescent="0.25">
      <c r="A382" s="3">
        <v>374</v>
      </c>
      <c r="B382" s="3">
        <f t="shared" si="30"/>
        <v>825.86845053903312</v>
      </c>
      <c r="C382" s="3">
        <f t="shared" si="31"/>
        <v>1.179027320727458E-15</v>
      </c>
      <c r="D382" s="3">
        <f t="shared" si="32"/>
        <v>49174.131549460915</v>
      </c>
      <c r="E382" s="3">
        <f t="shared" si="33"/>
        <v>-9.7372146651237352E-18</v>
      </c>
      <c r="F382" s="3">
        <f t="shared" si="34"/>
        <v>-1.3764120042580851E-16</v>
      </c>
      <c r="G382" s="3">
        <f t="shared" si="35"/>
        <v>1.4737841509093225E-16</v>
      </c>
    </row>
    <row r="383" spans="1:7" x14ac:dyDescent="0.25">
      <c r="A383" s="3">
        <v>375</v>
      </c>
      <c r="B383" s="3">
        <f t="shared" si="30"/>
        <v>825.86845053903312</v>
      </c>
      <c r="C383" s="3">
        <f t="shared" si="31"/>
        <v>1.0413861203016494E-15</v>
      </c>
      <c r="D383" s="3">
        <f t="shared" si="32"/>
        <v>49174.131549460915</v>
      </c>
      <c r="E383" s="3">
        <f t="shared" si="33"/>
        <v>-8.6004794158637842E-18</v>
      </c>
      <c r="F383" s="3">
        <f t="shared" si="34"/>
        <v>-1.215727856218424E-16</v>
      </c>
      <c r="G383" s="3">
        <f t="shared" si="35"/>
        <v>1.3017326503770618E-16</v>
      </c>
    </row>
    <row r="384" spans="1:7" x14ac:dyDescent="0.25">
      <c r="A384" s="3">
        <v>376</v>
      </c>
      <c r="B384" s="3">
        <f t="shared" si="30"/>
        <v>825.86845053903312</v>
      </c>
      <c r="C384" s="3">
        <f t="shared" si="31"/>
        <v>9.1981333467980692E-16</v>
      </c>
      <c r="D384" s="3">
        <f t="shared" si="32"/>
        <v>49174.131549460915</v>
      </c>
      <c r="E384" s="3">
        <f t="shared" si="33"/>
        <v>-7.5964481349715343E-18</v>
      </c>
      <c r="F384" s="3">
        <f t="shared" si="34"/>
        <v>-1.0738021870000433E-16</v>
      </c>
      <c r="G384" s="3">
        <f t="shared" si="35"/>
        <v>1.1497666683497587E-16</v>
      </c>
    </row>
    <row r="385" spans="1:7" x14ac:dyDescent="0.25">
      <c r="A385" s="3">
        <v>377</v>
      </c>
      <c r="B385" s="3">
        <f t="shared" si="30"/>
        <v>825.86845053903312</v>
      </c>
      <c r="C385" s="3">
        <f t="shared" si="31"/>
        <v>8.1243311597980262E-16</v>
      </c>
      <c r="D385" s="3">
        <f t="shared" si="32"/>
        <v>49174.131549460915</v>
      </c>
      <c r="E385" s="3">
        <f t="shared" si="33"/>
        <v>-6.7096287866083825E-18</v>
      </c>
      <c r="F385" s="3">
        <f t="shared" si="34"/>
        <v>-9.4844510710866948E-17</v>
      </c>
      <c r="G385" s="3">
        <f t="shared" si="35"/>
        <v>1.0155413949747533E-16</v>
      </c>
    </row>
    <row r="386" spans="1:7" x14ac:dyDescent="0.25">
      <c r="A386" s="3">
        <v>378</v>
      </c>
      <c r="B386" s="3">
        <f t="shared" si="30"/>
        <v>825.86845053903312</v>
      </c>
      <c r="C386" s="3">
        <f t="shared" si="31"/>
        <v>7.1758860526893565E-16</v>
      </c>
      <c r="D386" s="3">
        <f t="shared" si="32"/>
        <v>49174.131549460915</v>
      </c>
      <c r="E386" s="3">
        <f t="shared" si="33"/>
        <v>-5.9263378955792182E-18</v>
      </c>
      <c r="F386" s="3">
        <f t="shared" si="34"/>
        <v>-8.3772237763037738E-17</v>
      </c>
      <c r="G386" s="3">
        <f t="shared" si="35"/>
        <v>8.9698575658616956E-17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Bliss,  Karen M</dc:creator>
  <cp:lastModifiedBy>Microsoft Office User</cp:lastModifiedBy>
  <dcterms:created xsi:type="dcterms:W3CDTF">2020-04-20T13:45:10Z</dcterms:created>
  <dcterms:modified xsi:type="dcterms:W3CDTF">2022-03-08T19:59:11Z</dcterms:modified>
</cp:coreProperties>
</file>